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vikas\Desktop\"/>
    </mc:Choice>
  </mc:AlternateContent>
  <xr:revisionPtr revIDLastSave="0" documentId="13_ncr:1_{C6DE51DF-942C-4B16-8F80-0F899880B6B1}" xr6:coauthVersionLast="47" xr6:coauthVersionMax="47" xr10:uidLastSave="{00000000-0000-0000-0000-000000000000}"/>
  <bookViews>
    <workbookView xWindow="-120" yWindow="-120" windowWidth="29040" windowHeight="15720" firstSheet="2" activeTab="2" xr2:uid="{00000000-000D-0000-FFFF-FFFF00000000}"/>
  </bookViews>
  <sheets>
    <sheet name="Kumamoto_Fuzi_6_OCT" sheetId="30" r:id="rId1"/>
    <sheet name="Workshops" sheetId="1" r:id="rId2"/>
    <sheet name="Schedule" sheetId="2" r:id="rId3"/>
    <sheet name="Environ Modelling Policy" sheetId="3" r:id="rId4"/>
    <sheet name="Advances in Machine Learning" sheetId="4" r:id="rId5"/>
    <sheet name="Human Biomonitoring" sheetId="5" r:id="rId6"/>
    <sheet name="ASGM and gold mining_all" sheetId="6" r:id="rId7"/>
    <sheet name="ASGM and gold mining_05Oct" sheetId="7" r:id="rId8"/>
    <sheet name="ASGM and gold mining_06Oct" sheetId="8" r:id="rId9"/>
    <sheet name="Mercury GEOTRACES" sheetId="9" r:id="rId10"/>
    <sheet name="Ayurveda" sheetId="10" r:id="rId11"/>
    <sheet name="Biodiversity" sheetId="11" r:id="rId12"/>
    <sheet name="Selenium" sheetId="12" r:id="rId13"/>
    <sheet name="Forests" sheetId="13" r:id="rId14"/>
    <sheet name="Geologic_processes" sheetId="14" r:id="rId15"/>
    <sheet name="Geologic_processe _5_OCT" sheetId="15" r:id="rId16"/>
    <sheet name="Geologic_processes_6_OCT" sheetId="16" r:id="rId17"/>
    <sheet name="Oil and Gas" sheetId="17" r:id="rId18"/>
    <sheet name="Southern Hemisphere" sheetId="18" r:id="rId19"/>
    <sheet name="Effectiveness Evaluation" sheetId="19" r:id="rId20"/>
    <sheet name="Transformations and mobilizatio" sheetId="20" r:id="rId21"/>
    <sheet name="Science policy interface" sheetId="21" r:id="rId22"/>
    <sheet name="Toxic Trail of Beauty" sheetId="22" r:id="rId23"/>
    <sheet name="Atmosphere" sheetId="23" r:id="rId24"/>
    <sheet name="Cryosphere_poles" sheetId="24" r:id="rId25"/>
    <sheet name="Environmental_Health" sheetId="25" r:id="rId26"/>
    <sheet name="Human health" sheetId="26" r:id="rId27"/>
    <sheet name="Land and vegetation" sheetId="27" r:id="rId28"/>
    <sheet name="New_techniques" sheetId="28" r:id="rId29"/>
    <sheet name="Freshwater &amp; Oceans" sheetId="29" r:id="rId30"/>
  </sheets>
  <definedNames>
    <definedName name="_xlnm._FilterDatabase" localSheetId="1">Workshops!A3:AS9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8" l="1"/>
  <c r="F6" i="2" a="1"/>
  <c r="F6" i="2" s="1"/>
  <c r="E6" i="2" a="1"/>
  <c r="E6" i="2" s="1"/>
  <c r="D6" i="2" a="1"/>
  <c r="D6" i="2" s="1"/>
  <c r="F5" i="2" a="1"/>
  <c r="F5" i="2" s="1"/>
  <c r="E5" i="2" a="1"/>
  <c r="E5" i="2" s="1"/>
  <c r="D5" i="2" a="1"/>
  <c r="D5"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<sst xmlns="http://schemas.openxmlformats.org/spreadsheetml/2006/main" count="1954" uniqueCount="1015">
  <si>
    <t>WORKSHOP INFORMATION</t>
  </si>
  <si>
    <t/>
  </si>
  <si>
    <t>ABOUT LEADS</t>
  </si>
  <si>
    <t>ABOUT CO-LEADS</t>
  </si>
  <si>
    <t>STATUS</t>
  </si>
  <si>
    <t>Basic workshop information and summary names</t>
  </si>
  <si>
    <t>Lead 1–6 are ready. Additional numbered Lead columns are supported.</t>
  </si>
  <si>
    <t>Co-Lead 1–6 are ready. Additional numbered Co-Lead columns are supported.</t>
  </si>
  <si>
    <t>Yes / No</t>
  </si>
  <si>
    <t>Workshop ID</t>
  </si>
  <si>
    <t>Date</t>
  </si>
  <si>
    <t>Time</t>
  </si>
  <si>
    <t>Room</t>
  </si>
  <si>
    <t>Workshop Title</t>
  </si>
  <si>
    <t>Leads</t>
  </si>
  <si>
    <t>Co-Leads</t>
  </si>
  <si>
    <t>Description</t>
  </si>
  <si>
    <t>Lead 1 Name</t>
  </si>
  <si>
    <t>Lead 1 Affiliation</t>
  </si>
  <si>
    <t>Lead 1 Bio</t>
  </si>
  <si>
    <t>Lead 2 Name</t>
  </si>
  <si>
    <t>Lead 2 Affiliation</t>
  </si>
  <si>
    <t>Lead 2 Bio</t>
  </si>
  <si>
    <t>Lead 3 Name</t>
  </si>
  <si>
    <t>Lead 3 Affiliation</t>
  </si>
  <si>
    <t>Lead 3 Bio</t>
  </si>
  <si>
    <t>Lead 4 Name</t>
  </si>
  <si>
    <t>Lead 4 Affiliation</t>
  </si>
  <si>
    <t>Lead 4 Bio</t>
  </si>
  <si>
    <t>Lead 5 Name</t>
  </si>
  <si>
    <t>Lead 5 Affiliation</t>
  </si>
  <si>
    <t>Lead 5 Bio</t>
  </si>
  <si>
    <t>Lead 6 Name</t>
  </si>
  <si>
    <t>Lead 6 Affiliation</t>
  </si>
  <si>
    <t>Lead 6 Bio</t>
  </si>
  <si>
    <t>Co-Lead 1 Name</t>
  </si>
  <si>
    <t>Co-Lead 1 Affiliation</t>
  </si>
  <si>
    <t>Co-Lead 1 Bio</t>
  </si>
  <si>
    <t>Co-Lead 2 Name</t>
  </si>
  <si>
    <t>Co-Lead 2 Affiliation</t>
  </si>
  <si>
    <t>Co-Lead 2 Bio</t>
  </si>
  <si>
    <t>Co-Lead 3 Name</t>
  </si>
  <si>
    <t>Co-Lead 3 Affiliation</t>
  </si>
  <si>
    <t>Co-Lead 3 Bio</t>
  </si>
  <si>
    <t>Co-Lead 4 Name</t>
  </si>
  <si>
    <t>Co-Lead 4 Affiliation</t>
  </si>
  <si>
    <t>Co-Lead 4 Bio</t>
  </si>
  <si>
    <t>Co-Lead 5 Name</t>
  </si>
  <si>
    <t>Co-Lead 5 Affiliation</t>
  </si>
  <si>
    <t>Co-Lead 5 Bio</t>
  </si>
  <si>
    <t>Co-Lead 6 Name</t>
  </si>
  <si>
    <t>Co-Lead 6 Affiliation</t>
  </si>
  <si>
    <t>Co-Lead 6 Bio</t>
  </si>
  <si>
    <t>Active</t>
  </si>
  <si>
    <t>W001</t>
  </si>
  <si>
    <t>10:30 - 12:30</t>
  </si>
  <si>
    <t>Meeting room 1</t>
  </si>
  <si>
    <t>Right Data, Wrong Message? Communicating Science So It Drives Action. Technical Writing &amp; Science Communication Workshop</t>
  </si>
  <si>
    <t xml:space="preserve">Sachin Shenoy  and Rajib Borkataki </t>
  </si>
  <si>
    <t>Sachin Shenoy</t>
  </si>
  <si>
    <t>President, STC India | Director – Technical Writing, OpenText</t>
  </si>
  <si>
    <t>Sachin Shenoy is a technical communication leader with extensive experience in technical writing, content strategy, and leading teams that make complex technology easier to understand and use. As President of STC India and Director – Technical Writing at OpenText, he is a strong advocate for user-focused communication and the continued evolution of the technical communication profession._x000D_
_x000D_
A passionate advocate for the technical communication profession, Sachin actively contributes to the growth of the community through leadership, knowledge sharing, mentoring, and professional development initiatives. His interests span technical writing, user experience (UX), user-focused communication, leadership, and the evolving role of technical communicators in an AI-enabled world._x000D_
_x000D_
Learn more about Sachin at:_x000D_
https://www.linkedin.com/in/jsshenoy/</t>
  </si>
  <si>
    <t>Rajib Borkataki</t>
  </si>
  <si>
    <t>Treasurer, STC India | Former President, STC India | _x000D_
Head of Content Services, Cybage Software</t>
  </si>
  <si>
    <t xml:space="preserve">Rajib Borkataki is a business and content leader with extensive experience in technical communication, content strategy, team leadership, and building content capabilities. He serves as Treasurer of STC India and has previously served as President, Sponsorship Manager, and Conference Organizer, contributing extensively to the growth of the technical communication community._x000D_
_x000D_
As Head of Content Services at Cybage Software, Rajib works at the intersection of technology, content, learning, and digital services, helping teams and organizations turn complex information into clear, purposeful, and impactful communication._x000D_
_x000D_
Learn more about Rajib at: _x000D_
https://www.linkedin.com/in/rajib-borkataki/_x000D_
</t>
  </si>
  <si>
    <t>Yes</t>
  </si>
  <si>
    <t>W002</t>
  </si>
  <si>
    <t>Meeting room 2</t>
  </si>
  <si>
    <t>Mercury Safety and Exposure: Best practice, latest technologies, case studies and compliance</t>
  </si>
  <si>
    <t>Jay James and David Hunter</t>
  </si>
  <si>
    <t xml:space="preserve">Stephan Böse O’Reily , Greg Lowry </t>
  </si>
  <si>
    <t>Jay James</t>
  </si>
  <si>
    <t xml:space="preserve">Founder of Picoyune </t>
  </si>
  <si>
    <t>Jay James PhD  founded Picoyune in 2013 by with Jeffrey Crosby PhD. Their research and development at Picoyune is a continuation of fundamental research conducted at UC Berkeley and Lawrence Berkeley National Laboratory. Picoyune has received grants from the NIH, NSF, ConservationXLabs, and DOE. Picoyune is located in Berkeley, California</t>
  </si>
  <si>
    <t xml:space="preserve">David Hunter </t>
  </si>
  <si>
    <t>Founder of Hg Ops</t>
  </si>
  <si>
    <t xml:space="preserve">David Hunter is the founder of Hg Ops, a consultancy specialising in supporting businesses in dealing with mercury and mercury waste. David has over 20 years of experience dealing with mercury in the oil and gas and waste management industries. He has packed and exported over 5000 tonnes of mercury waste for environmentally sound treatment, stabilised over 500 tonnes of mercury and developed methods for decontamination of mercury from steel. David also consults for UNEP as a mercury waste subject matter expert and contributes to the Global Mercury Partnership, Minamata and Basel COPs and the ICMGP mercury conference._x000D_
</t>
  </si>
  <si>
    <t xml:space="preserve">Greg Lowry </t>
  </si>
  <si>
    <t>Department Head and Hamershlag University Professor of Civil and Environmental Engineering</t>
  </si>
  <si>
    <t>Greg Lowry PhD is the Department Head and Hamershlag University Professor of Civil and Environmental Engineering. He is an executive and associate editor of the ACS Journal Environmental Science &amp; Technology. His environmental nanotechnology and chemistry research aims to improve the efficiency and resilience of crop agriculture, environmental remediation, and water treatment. Lowry holds a B.S. in chemical engineering from the University of California at Davis, an M.S. in civil and environmental engineering from University of Wisconsin at Madison, and a Ph.D. in civil and environmental engineering from Stanford University. He was a postdoc at Stanford in the Geological and Environmental Sciences Department.</t>
  </si>
  <si>
    <t xml:space="preserve">Stephan Böse-O’Reilly </t>
  </si>
  <si>
    <t>Global Environmental Health unit at the Institute of Occupational, Social and Environmental Medicine, Ludwig Maximilians University, Munich</t>
  </si>
  <si>
    <t>Stephan Böse-O’Reilly (M.D., MPH) leads the Global Environmental Health unit at the Institute of Occupational, Social and Environmental Medicine, Ludwig Maximilians University, Munich. As a paediatrician his focus is children’s environmental health. As an assistant professor for public and environmental health his focus is on mercury and lead in artisanal mining; and climate change and health care – adaptation strategies.</t>
  </si>
  <si>
    <t>W003</t>
  </si>
  <si>
    <t>Meeting room 3</t>
  </si>
  <si>
    <t>Status of Mercury Policy Development, Research and Implementation in Africa</t>
  </si>
  <si>
    <t>Dr Joy Leaner ( Director Air Quality Management, DEA&amp;DP Western Cape Government)</t>
  </si>
  <si>
    <t>Prof Vernon Somerset, Dr Lynwill Martin, Mr Rico Euripidou, Dr Elizabeth Masekoameng, Anne Lillian Nakafeero</t>
  </si>
  <si>
    <t>Dr Joy Leaner</t>
  </si>
  <si>
    <t>Director Air Quality Management, DEA&amp;DP Western Cape Government</t>
  </si>
  <si>
    <t>Dr Leaner’s research has ranged from understanding the sources, fate, transport and bioaccumulation of Hg in the environment, to that of developing strategies on Hg storage and handling in government institutions, as well as Hg emissions inventories, particularly for the Western Cape and South Africa. Currently, her interests have expanded to include policy development, air quality governance, monitoring, modelling and the impacts of air pollution on human health and the environment, at provincial level. See the following links:_x000D_
https://www.westerncape.gov.za/eadp/eadp-about-us _x000D_
https://www.mercurycapetown.com/executive-committee/</t>
  </si>
  <si>
    <t>Prof Vernon Somerset</t>
  </si>
  <si>
    <t>, Cape Peninsula University of Technology</t>
  </si>
  <si>
    <t>Prof Somerset currently works at the Department of Chemistry, Cape Peninsula University of Technology. His research focuses on Analytical Chemistry, Electrochemistry and Environmental Chemistry. He has more than 20 years of experience in Environmental Chemistry research, he has worked on various projects focussing on the sources, transport pathways and fate of inorganic and organic pollutants in the environment. See the following links:_x000D_
https://wwwcput.academia.edu/VernonSomerset _x000D_
https://za.linkedin.com/in/vernon-somerset-6b3a77b _x000D_
https://www.mercurycapetown.com/executive-committee/</t>
  </si>
  <si>
    <t>Dr Lynwill Martin</t>
  </si>
  <si>
    <t>, South African Weather Service</t>
  </si>
  <si>
    <t xml:space="preserve">Dr Lynwill Martin is a senior researching scientist at the South African Weather Service’s Global Atmosphere Watch station at Cape Point, South Africa. His research centres on long-term monitoring of greenhouse gases and atmospheric pollutants, including mercury. His work combines atmospheric models and measurements with the overarching goal of increasing fundamental understanding of the impacts of human activity and natural processes on the atmosphere. See the following links:_x000D_
https://www.researchgate.net/profile/Lynwill-Martin_x000D_
https://za.linkedin.com/in/lynwill-martin-8a544977 _x000D_
https://www.mercurycapetown.com/executive-committee/ </t>
  </si>
  <si>
    <t>Mr Rico Euripidou</t>
  </si>
  <si>
    <t>Chemicals and Campaigns Support Coordinator, Groundwork</t>
  </si>
  <si>
    <t xml:space="preserve">Rico Euripidou is groundWork’s Chemicals and Campaigns Support, a position created in groundWork to manage and support campaign staff in the strategic alignment of groundWork’s six campaigns. He has been with groundWork since 2005. His interests lie in working on issues of energy, chemicals policy, climate change and public health, all of which are, of course, closely interrelated. He trained as an Environmental Epidemiologist at the London School of Hygiene and Tropical Medicine in the United Kingdom. See the following link: _x000D_
https://groundwork.org.za/meet-the-team/ </t>
  </si>
  <si>
    <t>Dr Elizabeth Masekoameng</t>
  </si>
  <si>
    <t>Director, ZABCOR</t>
  </si>
  <si>
    <t>Dr Elizabeth Masekoameng is a highly qualified and experienced professional with more than 13 years’ experience in air quality management having worked in both the private and public sectors. Her more recent work at ZABCOR has focused on Hg policy development. See the following links:_x000D_
https://za.linkedin.com/in/elizabeth-masekoameng-phd-78965414</t>
  </si>
  <si>
    <t>Anne Lillian Nakafeero</t>
  </si>
  <si>
    <t>Principal Environment Officer - Biodiversity and Rangelands_x000D_
National Focal Point: Minamata Convention on Mercury, National Environment Management Authority, Uganda</t>
  </si>
  <si>
    <t>Anne has 27 years’ work experience at subnational and national level in the area of fisheries management, environment and natural resources management, biodiversity and Hg management in Uganda. See the following links:_x000D_
https://minamataconvention.org/en/people/anne-nakafeero</t>
  </si>
  <si>
    <t>W004</t>
  </si>
  <si>
    <t>14:00 -16:30</t>
  </si>
  <si>
    <t>Professional Skills for Early Career Researchers in Mercury Science: Proposal Writing, Peer Review, and Science Diplomacy</t>
  </si>
  <si>
    <t>Dr. Jagannath Biswakarma (Honorary Senior Research Associate, University of Bristol, UK)</t>
  </si>
  <si>
    <t>Ari Feinberg, Miling Li, Nguyen Ly Sy Phu, and Malgorzata Alicija Stjlo</t>
  </si>
  <si>
    <t>W005</t>
  </si>
  <si>
    <t>Hazardous Waste Workshop: a discussion on complexities and solutions regarding the environmentally sound treatment of mercury waste</t>
  </si>
  <si>
    <t>Grace Halla and David Hunter</t>
  </si>
  <si>
    <t xml:space="preserve">Angels Castellnou , Sören Potrykus, </t>
  </si>
  <si>
    <t>Grace Halla</t>
  </si>
  <si>
    <t>UNEP</t>
  </si>
  <si>
    <t>David Hunter</t>
  </si>
  <si>
    <t>UNEP Consultant</t>
  </si>
  <si>
    <t>W006</t>
  </si>
  <si>
    <t>Zeeman AAS (ZAAS) for direct mercury determination in samples with complex matrices</t>
  </si>
  <si>
    <t>Alvin Johnson</t>
  </si>
  <si>
    <t>Alvin Johnson (Business Development Manager, Lumex Instruments Canada)</t>
  </si>
  <si>
    <t>Alvin Johnson is a Business Development Manager specializing_x000D_
in the commercialization of analytical instrumentation, with a_x000D_
focus on mercury detection technologies. He leads the_x000D_
promotion and market adoption of mercury analyzers, including_x000D_
the RA-915M, RA-915Lab and RA-915AM, helping organizations_x000D_
reduce analysis time, eliminate consumables, and improve on_x000D_
site decision-making. His work bridges technical capabilities_x000D_
with customer needs across environmental and industrial_x000D_
sectors.</t>
  </si>
  <si>
    <t>Sunday</t>
  </si>
  <si>
    <t>Auditorium</t>
  </si>
  <si>
    <t>Workshops</t>
  </si>
  <si>
    <t xml:space="preserve">Workshops </t>
  </si>
  <si>
    <t>Japan Open House</t>
  </si>
  <si>
    <t>14:00 - 16:30</t>
  </si>
  <si>
    <t>Origami artwork</t>
  </si>
  <si>
    <t>Inauguration Programme</t>
  </si>
  <si>
    <t>17:30 - 19:30</t>
  </si>
  <si>
    <t>Opening Ceremony</t>
  </si>
  <si>
    <t>Networking &amp; Dinner</t>
  </si>
  <si>
    <t>20:00 - 22:30</t>
  </si>
  <si>
    <t>Welcome Reception</t>
  </si>
  <si>
    <t>Monday</t>
  </si>
  <si>
    <t xml:space="preserve">Plenary (Policy)                               Lead: Monica Stankiewicz  </t>
  </si>
  <si>
    <t>9:30 - 10:30</t>
  </si>
  <si>
    <t xml:space="preserve">Plenary (Policy)  </t>
  </si>
  <si>
    <t>Coffee Break</t>
  </si>
  <si>
    <t>10:30 - 10:50</t>
  </si>
  <si>
    <t>Session 1 (8 talks)</t>
  </si>
  <si>
    <t>10:50 - 12:50</t>
  </si>
  <si>
    <t>Mercury monitoring for effectiveness evaluation (8)</t>
  </si>
  <si>
    <t>Freshwater &amp; Oceans (3)+ Cryosphere/poles (5)</t>
  </si>
  <si>
    <t>New lab analysis or modelling techniques (8)</t>
  </si>
  <si>
    <t>Round Table X</t>
  </si>
  <si>
    <t>Lunch + Mentorship lunch</t>
  </si>
  <si>
    <t>12:30 - 14:00</t>
  </si>
  <si>
    <t>Lunch</t>
  </si>
  <si>
    <t>Session 2 (8 talks)</t>
  </si>
  <si>
    <t>14:00 - 15:45</t>
  </si>
  <si>
    <t>Mercury monitoring for effectiveness evaluation (7)</t>
  </si>
  <si>
    <t>Mercury in oil and gas industry	 (7)</t>
  </si>
  <si>
    <t>Mercury transformation and mobilization (7)</t>
  </si>
  <si>
    <t>15:15 - 16:15</t>
  </si>
  <si>
    <t>Session 3 (8 talks) + Any discussions</t>
  </si>
  <si>
    <t>16:00 - 18:00</t>
  </si>
  <si>
    <t>Mercury monitoring for effectiveness evaluation (2) + 30 minutes + Mercury in the Artisanal and Small-Scale Gold Mining (ASGM) Sector (3)</t>
  </si>
  <si>
    <t>Mercury in geological processes (8)</t>
  </si>
  <si>
    <t xml:space="preserve">Women's event </t>
  </si>
  <si>
    <t>18:30 - 20:00</t>
  </si>
  <si>
    <t>Posters: All posters can be displayed throughout the conference. 04 Oct 2026 to 09 Oct 2026. Specific times for presenters will be updatd, when they are recommended to be present</t>
  </si>
  <si>
    <t>Tuesday</t>
  </si>
  <si>
    <t>Kumamoto Prefecture, Minamata Talk - Part 1</t>
  </si>
  <si>
    <t>Mercury in the Southern Hemisphere (8)</t>
  </si>
  <si>
    <t>Mercury in the Artisanal and Small-Scale Gold Mining (ASGM) Sector (8)</t>
  </si>
  <si>
    <t xml:space="preserve">Mercury in geological processes (2) + Atmosphere (4) </t>
  </si>
  <si>
    <t>Session 2 (7 talks)</t>
  </si>
  <si>
    <t>Mercury in the Southern Hemisphere (5) + Mercury and Selenium: Insights from Marine to Amazonian Studies(2)</t>
  </si>
  <si>
    <t xml:space="preserve">The Toxic Trail of Beauty: Unpacking Mercury in Cosmetics through Data and Action (7) </t>
  </si>
  <si>
    <t>Atmosphere (6)</t>
  </si>
  <si>
    <t xml:space="preserve">Session 3 (8 talks) </t>
  </si>
  <si>
    <t>Mercury and Selenium in Living Organisms: Insights from Marine to Amazonian Studies (8)</t>
  </si>
  <si>
    <t>Environmental modelling of mercury to inform international policy (6)</t>
  </si>
  <si>
    <t>Wednesday</t>
  </si>
  <si>
    <t>Full day:</t>
  </si>
  <si>
    <t>City tours (full-day, half-day, city-drop off in morning)</t>
  </si>
  <si>
    <t xml:space="preserve">18:00 to 20:00 </t>
  </si>
  <si>
    <t>COMPLEXion of Change event @ Goethe-Zentrum Hyderabad</t>
  </si>
  <si>
    <t>Thursday</t>
  </si>
  <si>
    <t>Plenary (Human Health):                       Lead: Elena Jardan</t>
  </si>
  <si>
    <t xml:space="preserve">Plenary (Human Health)  </t>
  </si>
  <si>
    <t>Human Biomonitoring (8)</t>
  </si>
  <si>
    <t>Marine Mercury Research in the GEOTRACES (8)</t>
  </si>
  <si>
    <t>Mercury and biodiversity (8)</t>
  </si>
  <si>
    <t xml:space="preserve">Environmental Health (7) </t>
  </si>
  <si>
    <t xml:space="preserve">Marine Mercury Research in the GEOTRACES  (4) + Science Policy Interface (4) </t>
  </si>
  <si>
    <t>Mercury and biodiversity (5)  + Land and Vegetation (1)</t>
  </si>
  <si>
    <t xml:space="preserve">Coffee Break </t>
  </si>
  <si>
    <t>15:15 - 16:00</t>
  </si>
  <si>
    <t xml:space="preserve">Environmental (3) &amp; Human Health (2) </t>
  </si>
  <si>
    <t xml:space="preserve">Land and Vegetation (2) + Mercury biogeochemical cycling in forest (6) </t>
  </si>
  <si>
    <t>Exco and SSC conference wrap</t>
  </si>
  <si>
    <t>GALA DINNER</t>
  </si>
  <si>
    <t>20:00 - 23:00</t>
  </si>
  <si>
    <t>Friday</t>
  </si>
  <si>
    <t>Plenary (Emerging countries):                  Lead: Lynwill Martin</t>
  </si>
  <si>
    <t xml:space="preserve">Plenary (Mercury in Emerging Countries) </t>
  </si>
  <si>
    <t>Closing Ceremony</t>
  </si>
  <si>
    <t>10:50 - 12:00</t>
  </si>
  <si>
    <t>Valedictory Function</t>
  </si>
  <si>
    <t>Kumamoto Prefecture Event for IIT Hyderabad and other non-ICMGP Students</t>
  </si>
  <si>
    <t>15:00 - 16:30</t>
  </si>
  <si>
    <t>KUMAMOTO PREFECTURE EVENT FOR IIT HYDERABAD STUDENTS</t>
  </si>
  <si>
    <t>Special Session</t>
  </si>
  <si>
    <t>Ari Feinberg, Eric Roy, Oleg Travnikon</t>
  </si>
  <si>
    <t>Session Name</t>
  </si>
  <si>
    <t>Environmental Modelling of Mercury to Inform International Policy</t>
  </si>
  <si>
    <t>Location</t>
  </si>
  <si>
    <t>Oral</t>
  </si>
  <si>
    <t>Abstract ID</t>
  </si>
  <si>
    <t>Title</t>
  </si>
  <si>
    <t>Lead author</t>
  </si>
  <si>
    <t>Co-authors</t>
  </si>
  <si>
    <t>Slot</t>
  </si>
  <si>
    <t>16:00-16:15</t>
  </si>
  <si>
    <t>Global Mercury Cycling and Trends: A Multi-Model Assessment in Support of the Minamata Convention</t>
  </si>
  <si>
    <t>16:15-16:30</t>
  </si>
  <si>
    <t>Atmospheric Oxidant Variability Reshapes Future Global Mercury Load</t>
  </si>
  <si>
    <t>Hema Bhatt</t>
  </si>
  <si>
    <t>Asif Qureshi</t>
  </si>
  <si>
    <t>16:30-16:45</t>
  </si>
  <si>
    <t xml:space="preserve">Modelling the Role of Dimethylmercury on Hg Air-Sea Exchange </t>
  </si>
  <si>
    <t>Johannes Bieser</t>
  </si>
  <si>
    <t>16:45-17:00</t>
  </si>
  <si>
    <t>Recent Trends of Anthropogenic Atmospheric Mercury Emissions and Concentrations in China</t>
  </si>
  <si>
    <t>Hezhong Tian</t>
  </si>
  <si>
    <t>17:00-17:15</t>
  </si>
  <si>
    <t>Long-Term Mercury Remobilisation from Southern Baltic Sediments Under Recurring Resuspension Events</t>
  </si>
  <si>
    <t>Jacek Bełdowski</t>
  </si>
  <si>
    <t>Agnieszka Jędruch, Jaromir Jakacki</t>
  </si>
  <si>
    <t>17:15-17:30</t>
  </si>
  <si>
    <t>Rethinking Future Mercury in Fish: Bridging Model Predictions with Observations Under Global Emission Scenarios</t>
  </si>
  <si>
    <t>Henna Gull</t>
  </si>
  <si>
    <t xml:space="preserve"> Ju Hyeon Lee, Hoin Lee, Hélène Angot, and Sae Yun Kwon</t>
  </si>
  <si>
    <t>Poster</t>
  </si>
  <si>
    <t>Climate-Driven Variability in the Global Mercury Cycle: Long-Term Warming and ENSO Effects in a Coupled Atmosphere–Ocean–Land Mercury Model</t>
  </si>
  <si>
    <t>Toru Kawai</t>
  </si>
  <si>
    <t>Development of a Hg Flux Prediction Model From Unsaturated Soils: An Approach Considering Multiple Hg Species and their Potential of  Volatilisation</t>
  </si>
  <si>
    <t>Monami Kondo</t>
  </si>
  <si>
    <t>Yasuhide Sakamoto, Junko Hara</t>
  </si>
  <si>
    <t>Lei Zhang, Yanxu Zhang, Huan Zhong</t>
  </si>
  <si>
    <t>Advances in Machine Learning</t>
  </si>
  <si>
    <t>16:00 - 16:15</t>
  </si>
  <si>
    <t>Bidirectional Air-Surface Exchange of Gaseous Elemental Mercury Reshapes the Global Mercury Budget</t>
  </si>
  <si>
    <t>Shuxiao Wang</t>
  </si>
  <si>
    <t>Yuying Cui, Eric M. Roy, Noelle E. Selin, Qingru Wu</t>
  </si>
  <si>
    <t>16:15 - 16:30</t>
  </si>
  <si>
    <t>Quantifying the Role of Chemistry, Surface Exchange, and Transport on the Hemispheric Variability of Mercury (Hg)</t>
  </si>
  <si>
    <t>Eric M. Roy</t>
  </si>
  <si>
    <t>Noelle E. Selin</t>
  </si>
  <si>
    <t>16:30 - 16:45</t>
  </si>
  <si>
    <t>Advances In the Global Multimedia Modelling of Mercury: Model Improvements and Constraining of Inputs Using MCMC</t>
  </si>
  <si>
    <t>16:45 - 17:00</t>
  </si>
  <si>
    <t>Mercury Emission Estimates and Cycling Simulations from Global Wildfires</t>
  </si>
  <si>
    <t>Long Chen</t>
  </si>
  <si>
    <t>17:00 - 17:15</t>
  </si>
  <si>
    <t>Beyond Emission Reductions: The Growing Role of Climate Change in Shaping Long-Term Atmospheric Mercury Trends</t>
  </si>
  <si>
    <t>Lei Zhang</t>
  </si>
  <si>
    <t>Xia Liu, Jialin Zhang, Jingmeng Jin, Daniel Jaffe, Guichen Zhang, Weikang Zhang, Peisheng Zhou, Yu Zhao</t>
  </si>
  <si>
    <t>Milena Horvat, Janja Snoj Tratnik </t>
  </si>
  <si>
    <t>Human Biomonitoring of Mercury: A Global Tool for Health and Policy</t>
  </si>
  <si>
    <t>10:50-11:05</t>
  </si>
  <si>
    <t>Comparative Study of Child Anthropometry and Mercury Exposure in Coastal and ASGM Areas of Indonesia</t>
  </si>
  <si>
    <t>Muflihatul Muniroh</t>
  </si>
  <si>
    <t>11:05-11:20</t>
  </si>
  <si>
    <t>Human Biomonitoring of Mercury Exposure in a Vulnerable Population: Levels, Trends, Sources, and Economic Impacts</t>
  </si>
  <si>
    <t>Brij Mohan Sharma</t>
  </si>
  <si>
    <t>11:20-11:35</t>
  </si>
  <si>
    <t>Probabilistic Health Risk Assessment of Multi-Pathway Mercury Exposure in Children from the Legacy Mercury Mining District of Idrija, Slovenia</t>
  </si>
  <si>
    <t>Adna Alilović Osolin</t>
  </si>
  <si>
    <t>Janja Snoj Tratnik, Tome Eftimov, Milena Horvat</t>
  </si>
  <si>
    <t>11:35-11:50</t>
  </si>
  <si>
    <t>Mercury–Selenium Interactions from Exposure to Molecular Response: Integrating Toxicokinetics, Redox Biomarkers and Omics Evidence in Human Populations</t>
  </si>
  <si>
    <t>Milena Horvat</t>
  </si>
  <si>
    <t>Janja Snoj Tratnik, Adna Alilović Osolin, Ingrid Falnoga, Darja Mazej, Fernando Barbosa Jr</t>
  </si>
  <si>
    <t>11:50-12:05</t>
  </si>
  <si>
    <t>Placental Metal (Loid)S in Cohorts from Hg-Mining and Control Environments</t>
  </si>
  <si>
    <t>Ingrid Falnoga</t>
  </si>
  <si>
    <t>12:05-12:20</t>
  </si>
  <si>
    <t>Human Biomonitoring Reveals High Mercury Exposure in Amazonian Communities Under Emerging ASGM Pressure</t>
  </si>
  <si>
    <t>Claudia Vega</t>
  </si>
  <si>
    <t>Jessica Pisconte, Tatiana Garcia, Luis Fernandez, Claus Garcia</t>
  </si>
  <si>
    <t>12:20-12:35</t>
  </si>
  <si>
    <t>Strengthening Health Aspects of the Minamata Convention on Mercury</t>
  </si>
  <si>
    <t>Yuyun Ismawati</t>
  </si>
  <si>
    <t>Yune Eribowo, Anantka Annisa, Panca D. Astuti</t>
  </si>
  <si>
    <t>12:35-12:50</t>
  </si>
  <si>
    <t>Field Lab for Mercury Analysis of Amazonian Indigenous Hair, Brazil</t>
  </si>
  <si>
    <t>Zuleica Carmen Castilhos</t>
  </si>
  <si>
    <t>Jessica Z. Ramos, Thainá Farinchon, Líllian M. Domingos, Thaís K. Queiróz; _x000D_
Lorena C. Mendes</t>
  </si>
  <si>
    <t>The Minamata Convention on Mercury in Slovenia: An Evaluation of Policy Implementation and Effectiveness in Relation to the Phase-Out of Dental Amalgam</t>
  </si>
  <si>
    <t>Vanja Usenik</t>
  </si>
  <si>
    <t>Malgorzata Alicja Stylo, Eisaku Toda</t>
  </si>
  <si>
    <t>Mercury in the Artisanal and Small-Scale Gold Mining (ASGM) Sector</t>
  </si>
  <si>
    <t>05 and 06 Oct</t>
  </si>
  <si>
    <t>Marcello M. Veiga</t>
  </si>
  <si>
    <t>Nnamdi C. Anene</t>
  </si>
  <si>
    <t>Marcello M. Veiga, Bern Klein</t>
  </si>
  <si>
    <t>Law Enforcement and Its Challenges in Implementing the Minamata Convention on Mercury in Indonesia</t>
  </si>
  <si>
    <t>Distribution, Speciation and Exports of Mercury in a Restored Gold-Mined Amazonian Watershed (French Guiana)</t>
  </si>
  <si>
    <t>Naomi  Nitschke</t>
  </si>
  <si>
    <t>Stéphane Guedron, Jennifer Harris, Emmanuel Tessier, _x000D_
Sylvain Campillo, Elaheh Lotfi, David Amouroux</t>
  </si>
  <si>
    <t>Elaheh Lotfi-Kalahroodi</t>
  </si>
  <si>
    <t>N. Nitschke, E. Tessier, S. Campillo, A.Thibault de Chanvalon,_x000D_
 C. Gautheron, S. Guédron, D. Amouroux</t>
  </si>
  <si>
    <t>Alfonsus H. Harianja</t>
  </si>
  <si>
    <t>Haryoto Kusnoputranto, Tri Edhi Budhi Soesilo</t>
  </si>
  <si>
    <t>Primary Mercury Mining Worldwide: Taking Stock of the Situation Ten Years After the Minamata Convention Entered into Force</t>
  </si>
  <si>
    <t>Romain Taravella</t>
  </si>
  <si>
    <t>Strengthening the Minamata Convention for the Effectiveness of Ending Mercury Use in the Artisanal and Small-Scale Gold Mining Sector</t>
  </si>
  <si>
    <t>Lee Bell, Gilbert Kuepouo</t>
  </si>
  <si>
    <t>Eisaku Toda</t>
  </si>
  <si>
    <t>Stylo Malgorzata &amp; Thomas Verbaere</t>
  </si>
  <si>
    <t>Review of Implementation of Article 7</t>
  </si>
  <si>
    <t>Thomas Verbaere</t>
  </si>
  <si>
    <t>Malgorzata Stylo</t>
  </si>
  <si>
    <t>Development of a Diagnostic Method for Prioritizing Remediation Measures for Residual Mercury in Mercury-Contaminated Areas</t>
  </si>
  <si>
    <t>Kohji Marumoto</t>
  </si>
  <si>
    <t>Yuya Tada, Masumi Marumoto, Takashi Tomiyasu, Hitoshi Kodamatani, _x000D_
 Gusti Made Kusnarta</t>
  </si>
  <si>
    <t>Legal and Illegal Gold Mining in the Amazon: Mercury Species Distribution and Stable Isotope Discrimination in a Gold Mine</t>
  </si>
  <si>
    <t>Stéphane Guedron, Jennifer Harris, Emmanuel Tessier, Sylvain _x000D_
Campillo, Elaheh Lotfi, David Amouroux</t>
  </si>
  <si>
    <t>Distribution of Total and Organic Mercury Concentrations in Soils from an Artisanal and Small-Scale Gold Mining Area and Mercury Elution from Contaminated Soils</t>
  </si>
  <si>
    <t>Takashi Tomiyasu</t>
  </si>
  <si>
    <t>Methylmercury Formation in Hg(II)- Spiked Paddy Soils: Relationships with Soil Composition, Temperature, and Microbial Communities</t>
  </si>
  <si>
    <t>Miku Bono</t>
  </si>
  <si>
    <t xml:space="preserve"> K. Nishimura, H. Kodamatani, M. Yamamoto, Y. Takaki,_x000D_
 R. Kanzaki, T. Tomiyasu </t>
  </si>
  <si>
    <t>Assessing Risks of Methylmercury Contamination in the Ankobra Estuary, Western Region, Ghana</t>
  </si>
  <si>
    <t>Sampson D. D. P. Dordaa</t>
  </si>
  <si>
    <t>Chris Gordon, Daniel Nukpezah, Abraham K. Anang &amp; Millicent S. A. Kwawu</t>
  </si>
  <si>
    <t>Smart Biochar for Synergistic Mercury Remediation: A Sustainable Solution Towards Farmland Resilience, Food Security, and Public Health</t>
  </si>
  <si>
    <t>Nathan Thadeo Yoashi</t>
  </si>
  <si>
    <t>Ling-Chu Chien, Hsing-Cheng His</t>
  </si>
  <si>
    <t>What National Reports Can Tell on Artisanal and Small-Scale Gold Mining</t>
  </si>
  <si>
    <t>17:30-17:45</t>
  </si>
  <si>
    <t>Measuring What Matters: Evidence-Based Approaches for Tracking Mercury Reduction in ASGM under Article 7 and National Action Plans</t>
  </si>
  <si>
    <t>A Study of Mercury and Gold Losses at Two Artisanal Gold Mining And Processing Sites in Nigeria</t>
  </si>
  <si>
    <t>Model of Mercury Exposure Controlling on Communities  Surrounding Artisanal Small-Scale Gold Mining in Sukabumi,  Indonesia</t>
  </si>
  <si>
    <t>Naomi NITSCHKE</t>
  </si>
  <si>
    <t>Evidence of Mercury Contamination by Gold Mining Activities in a Large Amazonian Watershed Using Stable Isotopes: Tracking Mercury Sources in the Maroni River Sediments (French Guiana/Surinam)</t>
  </si>
  <si>
    <t>Forty-five Year Trying to Eliminate Mercury in Artisanal Gold Mining: Frustrations and Accomplishments</t>
  </si>
  <si>
    <t>Carl Lamborg, Lars-Eric, Heimburger-Boavida</t>
  </si>
  <si>
    <t>Marine Mercury Research in the GEOTRACES</t>
  </si>
  <si>
    <t>Author ID</t>
  </si>
  <si>
    <t>Abstract Title</t>
  </si>
  <si>
    <t>Lead  Author Name</t>
  </si>
  <si>
    <t>Co-Author(s)</t>
  </si>
  <si>
    <t>10:50- 11:05</t>
  </si>
  <si>
    <t>Mercury in the South Pacific Ocean</t>
  </si>
  <si>
    <t>Lars-Eric Heimbürger-Boavida</t>
  </si>
  <si>
    <t>Alina Kleindienst, Eric Achterberg</t>
  </si>
  <si>
    <t>11:05 - 11:20</t>
  </si>
  <si>
    <t>Mercury Speciation and Distribution from the US GEOTRACES GP17-ANT Cruise in the Amundsen Sea</t>
  </si>
  <si>
    <t>Carl Lamborg</t>
  </si>
  <si>
    <t>Potential Impacts of Seafloor Mining on the Marine Mercury Cycle: Insights from the GEOTRACES Program</t>
  </si>
  <si>
    <t>Katlin Bowman Adamczyk</t>
  </si>
  <si>
    <t>Carl H. Lamborg</t>
  </si>
  <si>
    <t>Mercury Cycling within Sub-Tropical North Pacific Ocean Abyssal Sediments</t>
  </si>
  <si>
    <t>Marissa C. Despins</t>
  </si>
  <si>
    <t>Katlin Bowman Adamczyk, Hope Ianiri, Kira Mizell, Carl Lamborg</t>
  </si>
  <si>
    <t xml:space="preserve">Distribution and Speciation of Seawater Mercury in the Queen Elizabeth Islands Region of the Canadian Arctic </t>
  </si>
  <si>
    <t>Bronson Ramoutar</t>
  </si>
  <si>
    <t>Debbie Armstrong, Feiyue Wang</t>
  </si>
  <si>
    <t xml:space="preserve">Determining Biomass-Based Methylmercury Concentrations in Phytoplankton with the Support of an Imaging Flow Cytobot and Flow Cytometer </t>
  </si>
  <si>
    <t>Kristine C. Prelich</t>
  </si>
  <si>
    <t xml:space="preserve">Z. Baumann, H. Sosik, H. Levine, K. Randolph, E. Peacock, E.T. Crockford, C. Mouw, A. Ciochetto </t>
  </si>
  <si>
    <t xml:space="preserve">Spatial and Temporal Trends of Mercury in Sediments Off Goa, Central West Coast of  India </t>
  </si>
  <si>
    <t>Krushna Vudamala</t>
  </si>
  <si>
    <t xml:space="preserve">Subha Anand S, A.K. Sudheer and Arubam Khelen Chanu </t>
  </si>
  <si>
    <t>14:00-14:15</t>
  </si>
  <si>
    <t>Long-Term Observations of Mercury Species in the Sargasso Sea Highlight the Effectiveness of the Minamata Convention</t>
  </si>
  <si>
    <t>Jingjing Yuan</t>
  </si>
  <si>
    <t>Robert P. Mason, Hannah Inman, Olivia Patrinicola</t>
  </si>
  <si>
    <t>14:15-14:30</t>
  </si>
  <si>
    <t>Modelling Mercury Cycle in the Global Ocean Using NEMO-PISCES - Redox Reactions Sensibility Tests and Impact of Hydrothermal Sources</t>
  </si>
  <si>
    <t>Brunet Eline</t>
  </si>
  <si>
    <t xml:space="preserve">Dutay Jean-Claude, Heimbürger-Boavida Lars-Eric </t>
  </si>
  <si>
    <t>14:30-14:45</t>
  </si>
  <si>
    <t>14:45-15:00</t>
  </si>
  <si>
    <t>Key Requirements and Best Practices for Measurement Comparability in Marine Mercury Speciation Analysis</t>
  </si>
  <si>
    <t>Igor Živković</t>
  </si>
  <si>
    <t>Jože Kotnik, Lars-Eric Heimbürger-Boavida, Mariia V. Petrova, Aurélie Dufour, Ermira Begu, and Milen</t>
  </si>
  <si>
    <t>High-Frequency Observations of Dissolved Gaseous Mercury (DGM) in Korean Coastal Waters: Environmental Controls and Lagged Photochemical Responses</t>
  </si>
  <si>
    <t>Huu-Viet Nguyen</t>
  </si>
  <si>
    <t>Seunghee Han</t>
  </si>
  <si>
    <t>Preliminary Results from Monterey Bay Mercury Species Intercalibration</t>
  </si>
  <si>
    <t>Amina Schartup, Marissa Despins, Johannes West, Jeannette Calvin, Lars-Eric Heimbürger-Boavida, Emily Seelen, Stephen Kohler, Emma Scott, Kristine Prelich, Peter Weiss-Penzias, Allison Laubach, Alina Kleindienst</t>
  </si>
  <si>
    <t>Special Session Convenors</t>
  </si>
  <si>
    <t>By email</t>
  </si>
  <si>
    <t>Mercury and its Speciation in a Few Traditional Formulation</t>
  </si>
  <si>
    <t>Global Use of Mercury in Ayurvedic Medicine</t>
  </si>
  <si>
    <t>Peter Maxson</t>
  </si>
  <si>
    <t>High Lead and Mercury Exposure Related to Intake of Ayurvedic Pharmaceuticals</t>
  </si>
  <si>
    <t>Marcial Velasco Garrido</t>
  </si>
  <si>
    <t>Stephanie Selke, Volker Harth, Alexandra M. Preisser</t>
  </si>
  <si>
    <t>Revisiting Mercury Use in Indian Traditional Practices Under the Minamata Convention Framework</t>
  </si>
  <si>
    <t>Satish Sinha</t>
  </si>
  <si>
    <t>17:45-18:00</t>
  </si>
  <si>
    <t>Renee Streets</t>
  </si>
  <si>
    <t>David Evers, Malgorzata Alicja Stylo</t>
  </si>
  <si>
    <t>Mercury and Biodiversity: Connecting Science with Global Policy</t>
  </si>
  <si>
    <t>Biodiversity and Minamata Convention – Synergies in Multilateral Environmental Agreements</t>
  </si>
  <si>
    <t>Evaluating Mercury Impacts on Wildlife: Contributions to the Minamata Convention and Global Biodiversity Framework</t>
  </si>
  <si>
    <t>Josh T Ackerman</t>
  </si>
  <si>
    <t>Claudia Vega, David Evers, Mark Burton, Olha Furman, Karina Miglioranza, Celia Chen</t>
  </si>
  <si>
    <t xml:space="preserve">Mercury in the IPBES Nexus Assessment: Bridging Science, Policy, and Multilateral Environmental Conventions </t>
  </si>
  <si>
    <t>Paula Ribeiro Prist</t>
  </si>
  <si>
    <t>Considerations for the integration of  pollution into the implementation of National Biodiversity Strategies and Action Plans (NBSAPs) and Related MEAs Reporting</t>
  </si>
  <si>
    <t>Imelda Dossou Etui</t>
  </si>
  <si>
    <t xml:space="preserve">Malgorzata Stylo, Haddy Guisse </t>
  </si>
  <si>
    <t>The Intersection of Global Biodiversity Conservation Prioritization Areas and Mercury Threat</t>
  </si>
  <si>
    <t>Mark E.H. Burton</t>
  </si>
  <si>
    <t>Timothy H. Tear, David C. Evers</t>
  </si>
  <si>
    <t>Converting Marine Methylmercury Science to decision-grade evidence: An Evidence-to-Action Framework for Minamata Convention Implementation</t>
  </si>
  <si>
    <t>Luis E. Fernandez</t>
  </si>
  <si>
    <t>Mercury in Avian Ecosystems in India</t>
  </si>
  <si>
    <t>Mahendiran M</t>
  </si>
  <si>
    <t>Mercury Transfer Across Estuarine Biota: Implications for Biodiversity in the Industrially Impacted Estuary</t>
  </si>
  <si>
    <t>Pavitra Chandrakant Mirjankar</t>
  </si>
  <si>
    <t>Southern Ocean Seabird Population Shifts over the Holocene revealed by Peat Sequestration of Mercury from Guano</t>
  </si>
  <si>
    <t>Chuxian LI</t>
  </si>
  <si>
    <t>Stephen J. Roberts, Martin Grosjean, Adrien Mestrot, Martin Wille, Richard A. Phillips, Maxime Enrico, Kevin Bishop, et al.</t>
  </si>
  <si>
    <t>How and Where to Act? A Review of Policies and Initiatives for Controlling Mercury Contamination from Gold Mining to Protect Biodiversity in the Amazon</t>
  </si>
  <si>
    <t>Allison Aldous</t>
  </si>
  <si>
    <t>Nick Fromherz, Vitor Domingues, Aline Lopes, Débora G. Zanetti</t>
  </si>
  <si>
    <t>Mapping Mercury Contamination Risks to Biodiversity and People in Ecuador’s Napo Basin</t>
  </si>
  <si>
    <t xml:space="preserve">Mark Burton , Pedro Jimenez , Korik Vargas, Gabriela Echevarría, Fernando Sánchez Orellana , Jonathan Valdivieso </t>
  </si>
  <si>
    <t>Mercury–Biodiversity Risk Landscapes in Artisanal Gold Mining Systems of the Peruvian Amazon</t>
  </si>
  <si>
    <t xml:space="preserve">Claudia M. Vega, Jessica Pisconte, Liz Huamani, Tatiana Garcia, Miles R. Silman </t>
  </si>
  <si>
    <t>15:00-15:15</t>
  </si>
  <si>
    <t>Assessing Biodiversity Impacts from Mercury Release in Artisanal Small-Scale Gold Mining Using Birds as Indicators</t>
  </si>
  <si>
    <t>David Evers</t>
  </si>
  <si>
    <t>Kevin Regan, Korik Vargan, Billi Krochuk, Ed Jenkins</t>
  </si>
  <si>
    <t>Mercury in Fur of some Pinniped’s Species from different Regions of Russia</t>
  </si>
  <si>
    <t>Yuri G. Udodenko</t>
  </si>
  <si>
    <t>Maria A. Solovyeva, Viatcheslav V. Rozhnov</t>
  </si>
  <si>
    <t>Sources and Cycling of Mercury in the Baltic Sea following the Entry into Force of the Minamata Convention</t>
  </si>
  <si>
    <t>Magdalena Bełdowska</t>
  </si>
  <si>
    <t>Dominka Saniewska, Anna Dziubińska, Karolina Gębka, Agnieszka Jędruch, Urszula Kwasigroch, Leszek Łęczyński, Angela Popławska, Mariusz Sapota, Bartłomiej Wilman, Agnieszka Zarzeczańska</t>
  </si>
  <si>
    <t>Rosa Carmen Rodríguez Martín-Doimeadios, Maria Elena Crespo-López, Zoyne Pedrero Zayas</t>
  </si>
  <si>
    <t>Mercury and Selenium in Living Organisms: Insights from Marine to Amazonian Studies</t>
  </si>
  <si>
    <t>15:15-15:30</t>
  </si>
  <si>
    <t>Relationships between Selenoneine, Ergothioneine, Methylmercury, and Blood Parameters Among Inuit Living in Nunavik, Northern Quebec</t>
  </si>
  <si>
    <t>Alexandrine Roy</t>
  </si>
  <si>
    <t>Pierre Ayotte, Mariia Samoilenko, Marcos Yedjenou, Amira Aker, Matthew Little, Mélanie Lemire</t>
  </si>
  <si>
    <t>15:30-15:45</t>
  </si>
  <si>
    <t>Mercury–Selenium Interactions in Amazonian Riverine Populations Under Contrasting Exposure Scenarios</t>
  </si>
  <si>
    <t>María Jiménez-Moreno</t>
  </si>
  <si>
    <t>Gabriela P. Arrifano, Sergio Fernández-Trujillo, Marcus Augusto-Oliveira, Leticia Santos-Sacramento, Amanda Lopes-Araújo,_x000D_
 Barbarella M. Macchi, José Luiz M. do Nascimento, María Elena Crespo-López, Rosa C. Rodríguez Martín-Doimeadios</t>
  </si>
  <si>
    <t>Combining Speciation of Mercury and Selenium Compounds from Fresh to Marine Waters: Potential Biogeochemical Interactions as Analogues or Antagonists ?</t>
  </si>
  <si>
    <t>David Amouroux</t>
  </si>
  <si>
    <t>Emmanuel Tessier, Maité Bueno</t>
  </si>
  <si>
    <t>Selenoneine as a Natural Antidote to Methylmercury in Ocean Fish</t>
  </si>
  <si>
    <t>Mélanie Lemire</t>
  </si>
  <si>
    <t>Ayotte P, Achouba A, Archambault P, Barrette A, Médieu A, Lorrain A, Point D, Waeles M, Mulhern M,Schroff E, Shamlaye C, McSorley _x000D_
E, Strain JJ, van Wijngaarden E, Yeates A, Myers G, Watson G, Antropova O, Winkel L, Béziat P</t>
  </si>
  <si>
    <t>Mercury and Selenium Nanoparticle Formation in Amazonian Fish: Multi-Tissue Evidence of a Freshwater Detoxification Pathway</t>
  </si>
  <si>
    <t>Marianna Alves Cancian</t>
  </si>
  <si>
    <t xml:space="preserve">Beatriz Gomez-Gomez , Tamara Fernández-Bautista , Marta Miranda , Marta López-Alonso , Fabio Edir Amaral Albuquerque , _x000D_
Antonio Humberto Hamad Minervino , David Amouroux , Zoyne Pedrero Zayas </t>
  </si>
  <si>
    <t>Unravelling Mercury and Selenium Species Dynamics in Amazonian Riverine Population</t>
  </si>
  <si>
    <t>Juliette Esplugas</t>
  </si>
  <si>
    <t>Emmanuel Tessier, Gabriel Neves Cezarette, Camille Chen, Fernando Barbosa Jr, Maïté Bueno, Zoyne Pedrero Zayas</t>
  </si>
  <si>
    <t>Analytical Insights into HgSe Nanoparticle Formation in Marine Food Webs</t>
  </si>
  <si>
    <t>Marta Hernández-Postigo,  Armando Sánchez-Cachero,  Ángel Ríos2, Rosa Carmen Rodríguez Martín-Doimeadios</t>
  </si>
  <si>
    <t>Selenoneine in Marine Fish and Estimation of Dietary Intakes in Seychellois Pregnant Women</t>
  </si>
  <si>
    <t>Olya Antropova</t>
  </si>
  <si>
    <t>Melanie Lemire, Pierre Ayotte, Adel Achouba, Pierre Dumas, Ariane Barrette, Emelyn Schroff, Conrad Shamlaye, Emeir M. McSorley,_x000D_
 Sean J.J. Strain, Alison Yeates, Philip Allsopp, Gary Myers, Gene Watson, Edwin van Wijngaarden, Maria S. Mulhern.</t>
  </si>
  <si>
    <t>Stochiometric Relationship Between Mercury and Selenium in the Nutrition of Populations in the Northwest Territories (Canada), with Special Emphasis On Remote Indigenous Communities</t>
  </si>
  <si>
    <t>Dirk Wallschläger</t>
  </si>
  <si>
    <t>Alexander Branton</t>
  </si>
  <si>
    <t>18:00-18:15</t>
  </si>
  <si>
    <t>Mercury Isotopic Signature in Blood and Hair: A Study in Amazonian Populations</t>
  </si>
  <si>
    <t>Zoyne Pedrero Zayas</t>
  </si>
  <si>
    <t>Study of Mercury–Selenium Interactions Including Nanoparticles in Brazilian Amazonian Freshwater Fish</t>
  </si>
  <si>
    <t>Marta Hernández-Postigo, Amanda Lopes-Araújo, Gabriela P. Arrifano, Marcus Augusto-Oliveira, Leticia Santos-Sacramento,_x000D_
 Isabela Soares-Silva, Caio Gustavo Leal-Nazaré, María Elena Crespo-López, Rosa Carmen Rodríguez Martín-Doimeadios</t>
  </si>
  <si>
    <t>Chair(s)</t>
  </si>
  <si>
    <t>Xinbin Feng, Jen-How Huang</t>
  </si>
  <si>
    <t>Mercury Biogeochemical Cycling in Forests</t>
  </si>
  <si>
    <t>Climate-Driven Mercury Accumulation and Storage Dynamics in Tropical Dry and Rainforest</t>
  </si>
  <si>
    <t>Juan Francisco Morales Arteaga</t>
  </si>
  <si>
    <t>Cesar Ivan Alvarez, Harald Biester, Marta Pérez-Rodríguez</t>
  </si>
  <si>
    <t>Vegetation Regulation of Soil Hg(0) Evasion: Mechanistic Insights from Karst Landscapes and Global Patterns</t>
  </si>
  <si>
    <t>Jicheng Xia</t>
  </si>
  <si>
    <t>Jen-How Huang,Zaihua Liu,Min Zhao,Wei Yuan,Xun Wang,Tao Peng,Yanmei Zhou,Yixuan Shu,Weijun Luo,Xinbi</t>
  </si>
  <si>
    <t>Seasonal and Diurnal Variations in Atmospheric GEM Concentrations and Fluxes Over a Deciduous Needleleaf Forest in Japan</t>
  </si>
  <si>
    <t>Akinori Takeuchi</t>
  </si>
  <si>
    <t>Yoshiyuki Takahashi</t>
  </si>
  <si>
    <t>Elemental Mercury Dominates the Biogeochemical Cycling of Mercury in Forest Ecosystems</t>
  </si>
  <si>
    <t>Xinbin Feng</t>
  </si>
  <si>
    <t>Xun Wang, Wei Yuan</t>
  </si>
  <si>
    <t>Identifying the Spatial Extent of Historical Mercury Smelter Emissions Using Tree Cores and Stable Isotope Soil Profiles</t>
  </si>
  <si>
    <t>Steve Dent</t>
  </si>
  <si>
    <t>Chris Eckley, Jennifer Crawford, Bryn Thoms, Mike Bollman, Jason Silvertooth</t>
  </si>
  <si>
    <t>Comparison of Mercury Contents in Plant Species and Mercury Emissions from Prescribed Burning in Japanese Grasslands</t>
  </si>
  <si>
    <t>Satoshi Irei</t>
  </si>
  <si>
    <t>Seiichiro Yonemura, Satoshi Kameyama, Hiroto Shimazaki, and Asahi Sakuma</t>
  </si>
  <si>
    <t>Nikolay Mashyanov, Pablo Higueras</t>
  </si>
  <si>
    <t>Mercury in Geological Processes</t>
  </si>
  <si>
    <t>The Almadén Mercury Mining District: An Update of Environmental Consequences of the Exploitation of its Hg Deposits</t>
  </si>
  <si>
    <t>Pablo Higueras</t>
  </si>
  <si>
    <t>S. Lorenzo, J.I. Barquero, F.M. Bacale, O.A. Ávalos</t>
  </si>
  <si>
    <t>The State of the Environment in Idrija 30 Years After the Cessation of Mercury Production at the Idrija Mercury Mine, Slovenia</t>
  </si>
  <si>
    <t>Tatjana Dizdarevič</t>
  </si>
  <si>
    <t>Hg-contamination in the Former Hg-Mining Area of Abbadia San Salvatore (Mt. Amiata, central Italy)</t>
  </si>
  <si>
    <t>Orlando Vaselli</t>
  </si>
  <si>
    <t>Federica Meloni, Barbara Nisi, Jacopo Cabassi, Francesco Bianchi, Daniele Rappuoli</t>
  </si>
  <si>
    <t>Mercury Behaviour During the Formation of Modern Thermal Fields of Kamchatka (Russia)</t>
  </si>
  <si>
    <t>Anton Nuzhdaev</t>
  </si>
  <si>
    <t>Mercury Distribution Pattern in Soil at the UCIL Site, Bhopal</t>
  </si>
  <si>
    <t>Ekta Nagphase</t>
  </si>
  <si>
    <t>Jagannath Biswakarma, Asif Qureshi</t>
  </si>
  <si>
    <t>Mercury Speciation and Mobility in the Eastern Mt. Amiata Mining District (Central Italy):  Implications for Long-Term Environmental Risk</t>
  </si>
  <si>
    <t xml:space="preserve">Federica Meloni </t>
  </si>
  <si>
    <t xml:space="preserve">Pablo Higueras  , Jacopo Cabassi  , Barbara Nisi  , Cristiano Romiti  ,  Daniele Rappuoli , Orlando Vaselli </t>
  </si>
  <si>
    <t>Mercury Thermospeciation in Coals</t>
  </si>
  <si>
    <t>Nikolay Mashyanov</t>
  </si>
  <si>
    <t>Recent Insights into Mercury Distribution in Indian Coal and Emissions from Thermal Power Plants</t>
  </si>
  <si>
    <t>Hridesh Agarwalla</t>
  </si>
  <si>
    <t>Monalisa Gangopadhyay, Jyoti Kumari, Reginald Masto</t>
  </si>
  <si>
    <t>From Transport to Transformation: Evolving Understanding of Mercury Behavior in a River–Reservoir System</t>
  </si>
  <si>
    <t>Jennifer Crawford, Chris Eckley, Todd Luxton (USEPA); Colin Eagles-Smith (USGS); Jason Silvertooth (CDM Smith)</t>
  </si>
  <si>
    <t>Air Mercury Surveys at Sulfides Ore Deposits</t>
  </si>
  <si>
    <t>Alexei S. Rukhlov</t>
  </si>
  <si>
    <t>Mercury Concentrations in the Surface Bottom Sediments Eastern Arctic Seas</t>
  </si>
  <si>
    <t xml:space="preserve">Ivanov Maksim </t>
  </si>
  <si>
    <t>Climate Controls on Holocene Mercury Dynamics Across Alaskan Arctic Terrestrial and Marine Systems</t>
  </si>
  <si>
    <t>Masao Uchida</t>
  </si>
  <si>
    <t>K. Mantoku, C. L. Ping, G. Iwahana, H. Kajita, A. Yamakawa, S. Rella, C. Amano, K. Yoshikawa</t>
  </si>
  <si>
    <t>Arctic Permafrost as a Millennial Mercury Sink: Records from St. Lawrence Island, Bering Strait</t>
  </si>
  <si>
    <t>Concentration, Distribution, and Speciation of Mercury in Hydrothermally Altered Ground from the Lakki Plain (Nisyros Island, Greece)</t>
  </si>
  <si>
    <t>Cabassi, Jacopo  , Vougioukalakis, Georgios  , Vaselli, Orlado</t>
  </si>
  <si>
    <t>Bedrock-Controlled Mercury Partitioning and Export in Glacier Meltwater River to Arctic Fjords</t>
  </si>
  <si>
    <t>Hakwon Jeong</t>
  </si>
  <si>
    <t>Mercury Variability in Soils of in Arctic Valleys in Svalbard</t>
  </si>
  <si>
    <t>Wiktoria Zawrzykraj</t>
  </si>
  <si>
    <t xml:space="preserve">Juliana Souza-Kasprzyk, Przemysław Niedzielski </t>
  </si>
  <si>
    <t>David Hunter, Stuart Baker</t>
  </si>
  <si>
    <t>Mercury in the Oil and Gas Industry</t>
  </si>
  <si>
    <t>Assessing Ecological Risk of Mercury in Subsea Oil and Gas Infrastructure to Inform Decommissioning</t>
  </si>
  <si>
    <t>Tom Cresswell</t>
  </si>
  <si>
    <t>Alexandra Boyd, Marie Thomas, Elisabeth Tondl, Flora Mansour, Lhiam Paton, Francesca Gissi</t>
  </si>
  <si>
    <t>Hidden in Plain Sight: Human Mercury Vapour Exposure Risks Across the Oil and Gas Decommissioning Lifecycle</t>
  </si>
  <si>
    <t>Novel Application of Ceramic Membrane Microfiltration Technologies for the Removal of Particulate Mercury from Oil and Gas Process Fluids</t>
  </si>
  <si>
    <t>Stuart Baker</t>
  </si>
  <si>
    <t>Chris Sweeney</t>
  </si>
  <si>
    <t>Identification of Mercury Species in Waxy Condensate and Assessment of the Efficacy of both Established and Novel Removal Technologies</t>
  </si>
  <si>
    <t>Jac Hales</t>
  </si>
  <si>
    <t>Kieran Stuart</t>
  </si>
  <si>
    <t>Low Temperature Thermal Decomposition of Metacinnabar (β-HgS) Nanoparticles to Elemental Mercury in Water and Glycol: Implications for Mercury Management</t>
  </si>
  <si>
    <t>Gregory V. Lowry</t>
  </si>
  <si>
    <t>Chengyi Hong, Daniel Chinn, Evan S. Hatakeyama, Thomas Hoelen</t>
  </si>
  <si>
    <t>Quantifying Mercury Pathways in the Oil &amp; Gas Sector</t>
  </si>
  <si>
    <t xml:space="preserve">Comparison and Experiences of Sampling Approaches for Mercury in Gaseous Hydrocarbons </t>
  </si>
  <si>
    <t>Warren T Corns</t>
  </si>
  <si>
    <t>Amauris H Hernandez, Timothy Williams, Matthew Dexter</t>
  </si>
  <si>
    <t xml:space="preserve">Mercury in Gas and Oil Deposits </t>
  </si>
  <si>
    <t xml:space="preserve">Vladimir Ryzhov </t>
  </si>
  <si>
    <t>Nikolay Mashyanov, Sergey  Sholupov, Sergey  Pogarev</t>
  </si>
  <si>
    <t>Mercury in the Southern Hemisphere</t>
  </si>
  <si>
    <t>Investigating the Status of Mercury Contamination in Various Freshwater and Marine Ecosystems of South Africa</t>
  </si>
  <si>
    <t>Johannes H. Erasmus</t>
  </si>
  <si>
    <t>Mercury in Lakes of Andean Patagonia: Patterns in Deep and Shallow Lakes Along a Bioclimatic Gradient</t>
  </si>
  <si>
    <t>María C. Diéguez</t>
  </si>
  <si>
    <t xml:space="preserve">Mercury Distribution in Bottom Sediments in a Tropical Coastal Lagoon: Tijuca Lagoon (Rio De Janeiro, Brazil) </t>
  </si>
  <si>
    <t>Yan Ribeiro de Almeida Fernandes</t>
  </si>
  <si>
    <t xml:space="preserve">Spatial Evaluation of Total Mercury Concentrations in the South African Atmosphere Using Lichen Biomonitors </t>
  </si>
  <si>
    <t>Patricia Forbes</t>
  </si>
  <si>
    <t>Marco Botha</t>
  </si>
  <si>
    <t>Spatial Variation in Mercury Concentrations in Mankweng, South Africa</t>
  </si>
  <si>
    <t>Monray Dean Belelie</t>
  </si>
  <si>
    <t>Wynand Malherbe, Nico J. Smit, Victor Wepener</t>
  </si>
  <si>
    <t>Environmental Monitoring of Yanomami Land and the Upper Amazonas Network</t>
  </si>
  <si>
    <t>Marina Arcagni, Zaida Fernandez, Carolina Soto Cárdenas</t>
  </si>
  <si>
    <t>Distribution of Total and Bioavailable Mercury Concentrations in Abiotic Matrices in a South African Nature Reserve</t>
  </si>
  <si>
    <t>Geyan Kempkes</t>
  </si>
  <si>
    <t>Mercury Contamination and Sediment Resuspension: Ecotoxicological Algae and Microcrustaceans in a Tropical Urban Lagoon</t>
  </si>
  <si>
    <t>Ricardo Gonçalves Cesar, André Salomão, Zuleica Castilhos, Gustavo Koifman</t>
  </si>
  <si>
    <t>Development of Multifunctional Phosphorylated Chitosan-Based Nanocomposite Doped with Sulfur Nanoparticles for Efficient Removal Of  Hg From Surface Wastewater</t>
  </si>
  <si>
    <t>Mvula Confidence Goci</t>
  </si>
  <si>
    <t xml:space="preserve">Sulfurised Phosphorylated Chitosan-Based Electrochemical Sensor for Sensitive Detection of Mercury (II) Ions </t>
  </si>
  <si>
    <t>Puleng Molete</t>
  </si>
  <si>
    <t>Anzel De Lange, Farina Lindeque</t>
  </si>
  <si>
    <t>Effects of an Extreme Drought Event on Mercury Biogeochemistry in Central Amazon Sediments</t>
  </si>
  <si>
    <t>Gabriela Santos Caldeira</t>
  </si>
  <si>
    <t>Estimation of Mercury Released into the Environment from the Uncontrolled Dumping of Broken Medical Thermometers in Hospitals in Cameroon, Africa</t>
  </si>
  <si>
    <t>Samuel Tetsopgang</t>
  </si>
  <si>
    <t>A Geographic Assessment and Representation of Mercury (Hg) Concentrations in Selected South African Freshwater Environments from 2022-2025</t>
  </si>
  <si>
    <t>Vernon Sydwill Somerset</t>
  </si>
  <si>
    <t>Chavon Walters</t>
  </si>
  <si>
    <t>Variability in Mercury and Dissolved Organic Matter Quality in Relation to Catchment-Lake Processes: A Spatiotemporal Analysis in Two Deep Oligotrophic Lakes of Northern Patagonia (Argentina)</t>
  </si>
  <si>
    <t>Rizzo Andrea</t>
  </si>
  <si>
    <t>Queimaliños C, Arcagni M, Soto Cárdenas C, Reissig M, De Stefano L, Fernandez Z, Diéguez MC</t>
  </si>
  <si>
    <t>Mercury Dynamics in Shallow, Pristine Lakes of the Patagonian Andes (Argentina): Climate Influence on Terrestrial Inputs and Internal Processes</t>
  </si>
  <si>
    <t>Zaida Fernandez</t>
  </si>
  <si>
    <t>Carolina Soto Cárdenas, Marina Arcagni, Mariana Reissig, Andrea Rizzo, María C. Diéguez</t>
  </si>
  <si>
    <t>Mercury in Antarctic Vegetation as an Indicator of Uptake Routes and Bioavailable Forms</t>
  </si>
  <si>
    <t>Dominika Saniewska</t>
  </si>
  <si>
    <t xml:space="preserve">Aleksandra Cichecka , Patrycja Płonska , Iga Nehring , Piotr Paneth , Michal Saniewski </t>
  </si>
  <si>
    <t>Mercury Contamination in Polar Fish: Bioaccumulation and Trophic Transfer in Notothenia Coriiceps from Admiralty Bay, Maritime Antarctic</t>
  </si>
  <si>
    <t xml:space="preserve">Kacper Jurczyk , Mariusz Sapota , Piotr Paneth , Michal Saniewski </t>
  </si>
  <si>
    <t>Synergistic Sulfur-Functionalized Phosphorylated Chitosan Nanocomposite for Enhanced Electrochemical Detection and Adsorptive Removal of Mercury (II) Ions from Aqueous Environments</t>
  </si>
  <si>
    <t>Michael J. Klink</t>
  </si>
  <si>
    <t>Mvula Goci, Puleng Molete, Anny Leudjo Taka, Lynwill G Martin, Vernon Somerset</t>
  </si>
  <si>
    <t>The Antarctic Shag (Leucocarbo bransfieldensis) as a Bioindicator of Mercury and Methylmercury Contamination in the King George Island (South Shetland Islands, Antarctica)</t>
  </si>
  <si>
    <t>Maja Kuznik</t>
  </si>
  <si>
    <t xml:space="preserve">Katarzyna Fudala , Robert Bialik , Dominika Saniewska </t>
  </si>
  <si>
    <t>Tatsuya Hattori, Eisaku Toda, Noriyuki Suzuki, Dominique Bally Kpokro</t>
  </si>
  <si>
    <t>Mercury Monitoring for Effectiveness Evaluation</t>
  </si>
  <si>
    <t>Abstract Category</t>
  </si>
  <si>
    <t>Review status</t>
  </si>
  <si>
    <t>Scientific Report of the Open-Ended Scientific Group of the Minamata Convention</t>
  </si>
  <si>
    <t>Oral Paper</t>
  </si>
  <si>
    <t>Alexandra Steffen, Dominique Bally Kpokro, Terry Keating</t>
  </si>
  <si>
    <t>Mercury Exposure in Humans: Work of the Open-Ended Scientific Group for the Minamata Convention Effectiveness Evaluation</t>
  </si>
  <si>
    <t>Janja Snoj Tratnik</t>
  </si>
  <si>
    <t>Members of the Open-Ended Scientific Group of the Minamata Convention</t>
  </si>
  <si>
    <t>Mercury in Biota – Global Synthesis of Monitoring Data for Effectiveness Evaluation</t>
  </si>
  <si>
    <t>Oral Presentation</t>
  </si>
  <si>
    <t>Mark Burton</t>
  </si>
  <si>
    <t>Levels, Trends, and Spatial Patterns Across Environmental Media and Natural Archives: Insights from the First Synthesis Supporting the Minamata Convention Effectiveness Evaluation</t>
  </si>
  <si>
    <t>Svetoslava Todorova</t>
  </si>
  <si>
    <t xml:space="preserve">Adrien Mestrot,Anne Sørensen,Jane Kirk,Una Jermilova,Taylor Luu,Vivien Taylor,Chris Eckley,_x000D_
Manuel Gabriel Velasquez Ramirez,Sylvain Bouchet,Larissa Schneider,John Munthe,Valentin Mansanarez,Semia Gharbi,Chuxian Li,Luis Ángel Ancco Pichuilla,Jacqueline Gerson_x000D_
</t>
  </si>
  <si>
    <t>The Global Chemicals Monitoring Programme (GCMP) and its Contributions to the Effectiveness Evaluation of the Stockholm and Minamata Conventions</t>
  </si>
  <si>
    <t>Victor HE Schulze, Haosong Jiao, Kenneth Davis, Mihaela Paun, Jitendra Sharma, Ludovic Bernaudat</t>
  </si>
  <si>
    <t>Initiation, Expansion and Sustainability of Laboratory Proficiency Testing for Mercury to Enhance Collective Mercury Monitoring Capacity</t>
  </si>
  <si>
    <t>Saito, Mitsugu</t>
  </si>
  <si>
    <t>Haraguchi, K., Uchida, K., Hattori, T., Nagasaka, H., Bhari B., Huno, S., Borongan, G.</t>
  </si>
  <si>
    <t xml:space="preserve"> Mercury Monitoring in Japan: Cooperation for Monitoring Capacity Development and the Challenges thereof in Contribution tothe Effectiveness Evaluation of the Minamata Convention</t>
  </si>
  <si>
    <t>Tatsuya Hattori</t>
  </si>
  <si>
    <t>Koki Takaki</t>
  </si>
  <si>
    <t>Progress of the Asia Pacific Mercury Monitoring Network</t>
  </si>
  <si>
    <t>Da-Wei Lin</t>
  </si>
  <si>
    <t>The SA Mercury Network (SAMNet): Latest Trends and Findings</t>
  </si>
  <si>
    <t>Lynwill G Martin</t>
  </si>
  <si>
    <t>Casper Labuschagne, Goitsemang Lekota, Londolani Lethole, Thumeka  Mkololo and Pieter Labuschagne</t>
  </si>
  <si>
    <t>Mercury Monitoring in the Caribbean Region</t>
  </si>
  <si>
    <t>Evidence of Reduced Methylmercury Levels in Freshwater Ecosystems: A Decade of Monitoring Under the Minamata Convention</t>
  </si>
  <si>
    <t>Seonghwan Kim</t>
  </si>
  <si>
    <t>Atmospheric Transport Pathways and Source Apportionment of Mercury Wet Deposition at IIT Hyderabad</t>
  </si>
  <si>
    <t>Vikas Kumar Meena</t>
  </si>
  <si>
    <t>Hema Bhatt, Asif Qureshi</t>
  </si>
  <si>
    <t>A Scoping Initiative of the Arctic Monitoring and Assessment Programme (AMAP) to Advance Mercury Monitoring in the Arctic</t>
  </si>
  <si>
    <t>Sofi Jonsson</t>
  </si>
  <si>
    <t xml:space="preserve">Simultaneous Measurement Using Gold Amalgamation Enrichment Mode and Direct Mode: A Creative Way Using Atomic Fluorescence Analytical Method For Mercury Analysis In Environmental Waters </t>
  </si>
  <si>
    <t xml:space="preserve">Yumi Shimozuru </t>
  </si>
  <si>
    <t>Akihiro Mitsui, Ryuta Kurokawa, Naoko Hishida, Alvin Chua, Hazumu Kinoshita, Yasuyuki Yamada</t>
  </si>
  <si>
    <t>Automated, Dynamic, SI-Traceable Field Calibration of Atmospheric Elemental and Oxidised Mercury</t>
  </si>
  <si>
    <t>Seth Lyman</t>
  </si>
  <si>
    <t>Colleen Jones, KarLee Zager, Trevor O'Neil</t>
  </si>
  <si>
    <t>Kevin Bishop, Chuxian Li, Colin McCarter</t>
  </si>
  <si>
    <t>Mercury Transformation and Mobilisation from Wetlands:  New Tools for an Old Question with New Urgency</t>
  </si>
  <si>
    <t>Hg Compounds Dynamic and Cycling in a Periodically Stratified Mountain Lake (Pyrenees, France/Spain): Potential Influence of Climate Change</t>
  </si>
  <si>
    <t>H. Cervello, E. Tessier, B. Duval, M. Sébilo, P. Anschutz,_x000D_
 A. Thibaut de Chanvalon</t>
  </si>
  <si>
    <t>New Pathway of Mercury Methylation in Methanogen (M. Hungatei JF-1)</t>
  </si>
  <si>
    <t>Ligang HU</t>
  </si>
  <si>
    <t>Jun Gao, Jianbo Shi, Yongguang Yin, Guibin Jiang</t>
  </si>
  <si>
    <t>Organic Carbon Controls on Mercury Dynamics in Mangrove Sediments of the Godavari Estuary, India</t>
  </si>
  <si>
    <t>Shrutee Jain</t>
  </si>
  <si>
    <t>Syed Azharuddin Hashmi, Asif Qureshi</t>
  </si>
  <si>
    <t>Are Peatlands Doomed to Be Hg Hotspots: Hg Critical Zone Fate Revealed with Micromet, Isotopes, Genomics, and an Ice-Age</t>
  </si>
  <si>
    <t>Kevin Bishop</t>
  </si>
  <si>
    <t>Chuxian Li, Wei Zhu, Haijun Peng, Stefan Osterwalder</t>
  </si>
  <si>
    <t>Mercury in Sediments of Thermokarst Lakes in the Malozemelskaya Tundra: Anthropogenic or Biovector Pollution?</t>
  </si>
  <si>
    <t xml:space="preserve">Yury G. Tatsiy </t>
  </si>
  <si>
    <t>Mercury in Bottom Sediments of Russian Arctic Lakes</t>
  </si>
  <si>
    <t>Yury G. Tatsiy</t>
  </si>
  <si>
    <t>M.I. Dinu</t>
  </si>
  <si>
    <t>Short-Term Variability of Mercury in Surface Snow at Urban and Background Sites During the Alaskan Layered Pollution and Chemical Analysis Field Campaign in Fairbanks, Alaska</t>
  </si>
  <si>
    <t xml:space="preserve">Massimiliano Vardè </t>
  </si>
  <si>
    <t xml:space="preserve">Federico Scoto , William Simpson , Stefano Decesari </t>
  </si>
  <si>
    <t>Science Policy Interface</t>
  </si>
  <si>
    <t>Science Policy Interface on Chemicals, Waste and Pollution: A New Intergovernmental Panel</t>
  </si>
  <si>
    <t>Sandra Averous-Monnery</t>
  </si>
  <si>
    <t>Effectiveness Evaluation – A Model Case of Science Policy Interface</t>
  </si>
  <si>
    <t>Interdisciplinary Approaches to Address Mercury Pollution in ASGM: Bridging Environmental Science, Social Research, and Policy Implementation</t>
  </si>
  <si>
    <t>Dominique Bally Kpokro</t>
  </si>
  <si>
    <t>Gavin Hilson</t>
  </si>
  <si>
    <t>From Emissions to Metabolism: Addressing Gaps in National Mercury Accounting</t>
  </si>
  <si>
    <t>Yvonne Ryan-Fogarty</t>
  </si>
  <si>
    <t xml:space="preserve">Lynch, D. </t>
  </si>
  <si>
    <t>Bridging Research and Policy for Mercury Management in Australia: Outcomes from the 2025 Mercury Australia Network Workshop</t>
  </si>
  <si>
    <t>Darren Koppel, Jenny Fisher, Simon Apte, Larissa Schneider</t>
  </si>
  <si>
    <t>From Fragmentation to Integration: Strengthening the Science-Policy Interface for Mercury Governance in India</t>
  </si>
  <si>
    <t>Jagannath Biswakarma</t>
  </si>
  <si>
    <t>Large-Scale Mercury Stabilisation: Industrial Case Studies in Chlor-Alkali Decommissioning and Gold Mining Across Europe and Latin America</t>
  </si>
  <si>
    <t>Angels Castellnou</t>
  </si>
  <si>
    <t>Philippe Zanettin</t>
  </si>
  <si>
    <t>Malgorzata Alicja Stylo, Eisaku Toda, Grace Halla, David Evers</t>
  </si>
  <si>
    <t>Toxic Trail of Beauty</t>
  </si>
  <si>
    <t>Minamata Convention Report on the Challenges in Eliminating Mercury-Added Cosmetics</t>
  </si>
  <si>
    <t>From Pilots to Global Action: Insights on Eliminating Mercury and Harmful Chemicals from Cosmetics</t>
  </si>
  <si>
    <t>A Behavioural Analysis of Social, Structural and Psychological Drivers of Skin Lightening in Gabon, Sri Lanka and Jamaica</t>
  </si>
  <si>
    <t>Ammaarah Martinus</t>
  </si>
  <si>
    <t>Elena Altieri</t>
  </si>
  <si>
    <t>Updated Review of Post-2022 Literature and the Development of a Global Database for Mercury-Added Skin-Lightening Products</t>
  </si>
  <si>
    <t>Ashley Bastiansz</t>
  </si>
  <si>
    <t>Mark Burton, Tahlia Ali Shah, Allison Foster, David Evers, Malgorzata Stylo</t>
  </si>
  <si>
    <t>Assessing Mercury in Skin-Lightening Products Using a Standardised Monitoring Framework: Evidence from Gabon, Jamaica, and Sri Lanka</t>
  </si>
  <si>
    <t>Mark Burton, Tahlia Ali Shah, Helen Yurek, Cassie Gilham, David Evers, Malgorzata Stylo, _x000D_
Thamali Dhanushka, Leslie Hoo Fung, Guylène Nkoane Ndoutoume, Julie Désirée Imelda Mengue Bakaka Aboghe, Jean Hervé Mve Beh</t>
  </si>
  <si>
    <t>The Quantitative Analysis of Mercury in Skin Whitening Creams Available in the Indian Market</t>
  </si>
  <si>
    <t>Piyush Mohapatra, Alka Dubey</t>
  </si>
  <si>
    <t>Mercury Exposure from Cosmetics and Personal Care Products: Health Risk Assessment and Evaluation of Regulatory Effectiveness in Kerala, India</t>
  </si>
  <si>
    <t>Swathy Krishna</t>
  </si>
  <si>
    <t xml:space="preserve"> Mahesh Mohan</t>
  </si>
  <si>
    <t>Mercury in Skin-Lightening Cosmetics Available to Japanese Consumers: Evidence from Rapid Screening and Confirmatory Analysis</t>
  </si>
  <si>
    <t>Koichi Haraguchi</t>
  </si>
  <si>
    <t>Mitsugu Saito, Chacriya Malasuk, Kyaw Nyunt Maung, Yumi Ushikai, Kanako Nagatomi</t>
  </si>
  <si>
    <t>Beyond Borders and Beauty : Tackling Mercury in Skin-Lightening Products – Lessons from Sri Lanka in a Three-Country Initiative</t>
  </si>
  <si>
    <t>Inoka Kamalinie Suraweera</t>
  </si>
  <si>
    <t>Chandanee Withana, Chalani Rubasinghe, Suveendran Thirupathi</t>
  </si>
  <si>
    <t>Multi-Stakeholder Approaches Towards Managing Mercury-Containing Cosmetic Products in the Philippines</t>
  </si>
  <si>
    <t>Jashaf Shamir Lorenzo</t>
  </si>
  <si>
    <t>Values of Access to Information, Inclusion and Participation Create the Enabling Environment for Change</t>
  </si>
  <si>
    <t>Ruth Spencer</t>
  </si>
  <si>
    <t>Non-Profit/Public Partnership Targets Harmful Skin Lightening Products</t>
  </si>
  <si>
    <t>Lori Copan</t>
  </si>
  <si>
    <t>Michael Bender</t>
  </si>
  <si>
    <t>Eliminating Production and Online Trade in Mercury Added Cosmetics</t>
  </si>
  <si>
    <t>Elena Lymberidi-Settimo</t>
  </si>
  <si>
    <t>18:15-18:30</t>
  </si>
  <si>
    <t>Eliminating Mercury-Added Cosmetics: Translating Health Evidence into Policy and Action under the Minamata Convention</t>
  </si>
  <si>
    <t>Elena Jardan</t>
  </si>
  <si>
    <t>General Session</t>
  </si>
  <si>
    <t>Atmosphere</t>
  </si>
  <si>
    <t>Submitting Author</t>
  </si>
  <si>
    <t>Advances and Challenges in Anthropogenic Mercury Emission Assessment: Insights from the Emissions Database for Global Atmospheric Research Speciated Inventory For Global Emission Hot‑Spot Monitoring</t>
  </si>
  <si>
    <t>Marilena Muntean</t>
  </si>
  <si>
    <t>Monica Crippa , Diego Guizzardi, Federico Pagani , Manjola Banja , Corrado Luini , _x000D_
Sara Ciarlantini, Andrea Simonati</t>
  </si>
  <si>
    <t>New Insights into the Trends and Uncertainties in Atmospheric Mercury Redox Chemistry</t>
  </si>
  <si>
    <t>Aryeh Feinberg</t>
  </si>
  <si>
    <t>A. Saiz-Lopez, C. A. Cuevas, R. P. Fernandez, J. Sonke, J. M. C. Plane, D. Roca-Sanjuán, T. Jokinen</t>
  </si>
  <si>
    <t>Quantifying the Role of Atmospheric Oxidants (OH, O₃, and Br) in Mercury Oxidation Using an Environmental Chamber</t>
  </si>
  <si>
    <t>Alexis Harper</t>
  </si>
  <si>
    <t>Jaron Hansen, Lizzy Lowe, Dallin Giauque, Callum Flowerday, Zach Giauque</t>
  </si>
  <si>
    <t>Heterogeneous Photooxidation of Atmospheric Mercury Enhanced by the Mixtures of Metallic Oxide and Sodium Chloride</t>
  </si>
  <si>
    <t>Qingru Wu</t>
  </si>
  <si>
    <t>Pei Fang</t>
  </si>
  <si>
    <t>Experimental Investigation of Atmospheric Mercury Oxidation Using a 35 M³ Environmental Chamber</t>
  </si>
  <si>
    <t>Colleen Jones</t>
  </si>
  <si>
    <t>Seth Lyman, Jaron Hansen, Ryan Thalman, Jessica Haskins, Sarrah Dunham-Cheatham, Mae Gustin</t>
  </si>
  <si>
    <t>Atmospheric Hg (II) Chemistry: Insights from a Chamber Study</t>
  </si>
  <si>
    <t>Sarrah M. Dunham-Cheatham</t>
  </si>
  <si>
    <t>Andrea K. Baker, Alexis Harper, Colleen Jones, Seth Lyman, Jaron Hansen, Mae Sexauer Gustin</t>
  </si>
  <si>
    <t>Dual-Channel Mercury Measurements for a Smog Chamber Study</t>
  </si>
  <si>
    <t>KarLee Zager</t>
  </si>
  <si>
    <t>Seth Lyman, Colleen Jones, Trevor O'Neil</t>
  </si>
  <si>
    <t>Multi-Year Assessment of Atmospheric Mercury Deposition in a Tropical Urban Megacity: Flux Variability, Driving Factors, and Washout Processes</t>
  </si>
  <si>
    <t>Ly Sy Phu Nguyen</t>
  </si>
  <si>
    <t>Le Quoc Hau, Nguyen Thi Thuy, To Thi Hien</t>
  </si>
  <si>
    <t>Characterisations of Atmospheric Mercury Concentration and Isotope Composition at Multiple Sites in Taiwan</t>
  </si>
  <si>
    <t>Akane Yamakawa, Da-Wei Lin</t>
  </si>
  <si>
    <t>Atmospheric Observations of Gaseous Elemental Mercury in Industrial and Background Areas of the Southern Baikal Region</t>
  </si>
  <si>
    <t>Lutskin Evgenii Sergeevich</t>
  </si>
  <si>
    <t>Shikhovtsev M.Y., Molozhnikova Y.V., Obolkin V.A., Khodzher T.V.</t>
  </si>
  <si>
    <t>From Regional Background to Global Signals: A Long-Term Record of Atmospheric Mercury Concentrations and Wet Deposition at the Iskrba Regional Background Station (Slovenia)</t>
  </si>
  <si>
    <t>Jože Kotnik</t>
  </si>
  <si>
    <t>Ermira Begu, Igor Živkovič, Tanja Koleša, Milena Horvat</t>
  </si>
  <si>
    <t>Measurements of Ambient PM2.5-Bound Mercury in Windsor, Canada</t>
  </si>
  <si>
    <t>Xiaohong Xu</t>
  </si>
  <si>
    <t xml:space="preserve">Tianchu Zhang, Yushan Su </t>
  </si>
  <si>
    <t>Air Mercury Monitoring in the Baikal Lake Region, Siberia</t>
  </si>
  <si>
    <t>Sergey Sholupov, Sergey Pogarev, Vladimir Obolkin, Tamara Khodzher, Evgeniy Lutskin, Vladimir Ryzhov</t>
  </si>
  <si>
    <t xml:space="preserve">  </t>
  </si>
  <si>
    <t>Cryosphere / Poles</t>
  </si>
  <si>
    <t>Factors Influencing the Mercury Cycle in Polar Regions: Observations from Svalbard Snow and Modelling</t>
  </si>
  <si>
    <t>Veronica Amoruso</t>
  </si>
  <si>
    <t>Climate-Driven Ecosystem Changes and Mercury Cycling in Arctic Fjord Systems: Insights from the REFUGE-ARCTIC Campaign</t>
  </si>
  <si>
    <t>Davide Mattio</t>
  </si>
  <si>
    <t>L.E. Heimbürger-Boavida, D.Cossa, C. Donat, A. Kleindienst, A.Koenig, A.Dommergue, H. Angot</t>
  </si>
  <si>
    <t>Breaking The Sea Ice: Cracking the Seasonal Cycle of Mercury in the Arctic Cryosphere</t>
  </si>
  <si>
    <t>Stephen G. Kohler</t>
  </si>
  <si>
    <t>Pedro Duarte, Philipp Assmy, Dmitry Divine, Sebastian Gerland, Sébastien Moreau, Lars-Eric Heimbürger-Boavida</t>
  </si>
  <si>
    <t>Assessment of the Mercury Stability During the Winter Period Based on its Concentrations in Atmospheric Precipitation and in Snow Cover In The South Of Western Siberia</t>
  </si>
  <si>
    <t>Eyrikh Stella</t>
  </si>
  <si>
    <t>Kolotushkina Lylia</t>
  </si>
  <si>
    <t>Trophic Biomagnification of Mercury in Arctic Vertebrates Across Marine and Terrestrial Systems</t>
  </si>
  <si>
    <t>Juliana Souza-Kasprzyk</t>
  </si>
  <si>
    <t>Tuany Alves Soares, Vinícius Peruzzi de Oliveira, João Paulo Machado Torres, Przemysław Niedzielski</t>
  </si>
  <si>
    <t>From Storage to Release:  Mercury Re-Emission Observed Pals a Permafrost Mound Observed at Inland Alaska</t>
  </si>
  <si>
    <t>Koyomi Nakazawa</t>
  </si>
  <si>
    <t>Osamu Nagafuchi, Tetsuo Sueyoshi, Go Iwahana, Naoko Hishida</t>
  </si>
  <si>
    <t>Mercury Storage and Vulnerability in Palsa-Type Permafrost Revealed by Coupled Hg–C–N Profiles Along the Denali Highway, Alaska</t>
  </si>
  <si>
    <t>Osamu Nagafuchi</t>
  </si>
  <si>
    <t>Koyomi Nakazawa, Tetsuo Sueyoshi, Go Iwahana, Hazumu Kinoshita</t>
  </si>
  <si>
    <t>Decadal Variability of Mercury in the Sediments of Kongsfjorden, Svalbard, Arctic</t>
  </si>
  <si>
    <t>Kannan V. M.</t>
  </si>
  <si>
    <t>Saritha VK, Mahesh Mohan</t>
  </si>
  <si>
    <t>Environmental Health</t>
  </si>
  <si>
    <t>Mercury in Drinking Water in a Historically Contaminated Mining Area: Integrated Assessment, Isotopic Evidence and Human _x000D_
Health Risk Evaluation in Idrija, Slovenia</t>
  </si>
  <si>
    <t>T. Kanduč, P. Vreča, I. Živković, U. Blaznik, V. Golja, N. Šimac, B. Miljavac, M. Horvat</t>
  </si>
  <si>
    <t>Baseline Characterisation of Aquatic Biota Before the Reclamation of the Almadenejos Mercury Metallurgical Precinct _x000D_
(Almadén Hg Mining District) in the Context of the LIFE HERMES Project</t>
  </si>
  <si>
    <t xml:space="preserve">The HERMES Project: Reducing the Affectation to General Population of Cinnabar Processing Residue </t>
  </si>
  <si>
    <t>Remote-Controlled Climate Chambers for International Collaboration in Mercury Phytoremediation Research: Current _x000D_
Developments and Open Access Opportunities</t>
  </si>
  <si>
    <t>Barna Heidel</t>
  </si>
  <si>
    <t>Daria Severyn, Vladimir Stack Lara</t>
  </si>
  <si>
    <t>Mercury and Beyond: Environmental Health Risks in ASGM Across Sub-Saharan Africa</t>
  </si>
  <si>
    <t xml:space="preserve">Stephan Bose-O’Reilly </t>
  </si>
  <si>
    <t>Individual Particle-Scale Characterisation of Mercury in Sediments can Predict Mercury Bioavailability Potential and Provenance the Source of Mercury</t>
  </si>
  <si>
    <t>Thomas Hoelen</t>
  </si>
  <si>
    <t>Gregory V. Lowry, Adam Dassey</t>
  </si>
  <si>
    <t>Speciation and Distribution of Mercury in Soils from a Coal Mining Region in Northeast India</t>
  </si>
  <si>
    <t xml:space="preserve">Bhargov Mudhukailya </t>
  </si>
  <si>
    <t>Prantik Sharma Baruah, Asif Qureshi, Jagannath Biswakarma, Farishta Yasmin</t>
  </si>
  <si>
    <t>Mercury in the Bohai Sea Food Web: Quantifying Trophic Transfer, Sources, and Health Risks</t>
  </si>
  <si>
    <t>Deming Han</t>
  </si>
  <si>
    <t>Mercury Speciation on Total Mercury and Methylmercury in the Water Column of the Anthropogenically Impacted Estuary</t>
  </si>
  <si>
    <t>Prentiss Balcom, Elsie Sunderland, Mayuri Bhatia, Aaron Schultz, Tanveer Adyel, Asif Qureshi</t>
  </si>
  <si>
    <t xml:space="preserve">Presence of Mercury in Archaeological Sites: The Tartessian Sanctuary of La Bienvenida, Adjacent to the Roman Town of Sisapo (Ciudad Real Province, Spain). </t>
  </si>
  <si>
    <t>Mar Zarzalejos</t>
  </si>
  <si>
    <t>O.A. Ávalos, G. Esteban, P. Hevia, L. Mansilla, P. Higueras</t>
  </si>
  <si>
    <t>Mercury Concentrations in the Muscles and Liver of Waterbirds from the Curonian Lagoon, Kaliningrad Region (Russia)</t>
  </si>
  <si>
    <t>Petr M. Glazov</t>
  </si>
  <si>
    <t>Julia A.Loshchagina,Tatiana B.Kamshilova,Yuri G.Udodenko</t>
  </si>
  <si>
    <t>Mercury Concentrations in the Organs of Waterfowl from Central Yakutia (Russia)</t>
  </si>
  <si>
    <t>Julia A. Loshchagina, Evgeniy V. Shemyakin, Tatiana B. Kamshilova, Petr M. Glazov</t>
  </si>
  <si>
    <t>Beyond Awareness: Trust, Behavioural Economics, and the Gold Buyer as a Catalyst for Mercury-Free Artisanal Mining in Mali</t>
  </si>
  <si>
    <t>Albekaye Samake</t>
  </si>
  <si>
    <t>Assessment of Bioaccumulation Potential of Selected Heavy Metals through Edible Macrophytes</t>
  </si>
  <si>
    <t>Thokchom Grebilla</t>
  </si>
  <si>
    <t>Wazir Alam</t>
  </si>
  <si>
    <t>Temporal and Spatial Comparison of Sedimentary Mercury in Vembanad Lake System, Kerala, India</t>
  </si>
  <si>
    <t>Arun Ramachandran</t>
  </si>
  <si>
    <t>Human Health</t>
  </si>
  <si>
    <t>Mercury Exposure: It's Occupational…Right?</t>
  </si>
  <si>
    <t>Daniel Cronje</t>
  </si>
  <si>
    <t>Early-Life Invisible Exposure: Mercury in Breastmilk and Neonatal Vulnerability in the Brazilian Amazon</t>
  </si>
  <si>
    <t>Marta Turull</t>
  </si>
  <si>
    <t>Mônica Cunha, Montse Marquès, Jean R. D. Guimarães, Rejane C. Marques, Sergi Díez</t>
  </si>
  <si>
    <t>Accelerating the Transition to Mercury-Free Healthcare: WHO Leadership, Global Partnerships, and Implementation of the Minamata Convention</t>
  </si>
  <si>
    <t>Immune Toxicity of Methylmercury Following Oral Exposure at Environmentally Relevant Levels Involves Myeloid HIF-1α Regulation</t>
  </si>
  <si>
    <t>Guangbo Qu</t>
  </si>
  <si>
    <t>Ziniu Wang, Linlin Yao, Guibin Jiang</t>
  </si>
  <si>
    <t>Maternal Hair Mercury Levels and Associations with Neonatal Outcomes in the Brazilian Amazon</t>
  </si>
  <si>
    <t>Human Health Risk Assessment of Mercury Exposure via Consumable Fish From East Kolkata Wetlands: Evidence from Kolkata Markets</t>
  </si>
  <si>
    <t>Manish Kumar Sharma</t>
  </si>
  <si>
    <t>Indrani Das, Vipin Kumar</t>
  </si>
  <si>
    <t>Land and Vegetation</t>
  </si>
  <si>
    <t>Hemp Cultivation Reduces Mercury Volatilisation but Increases Solubility and Leaching Potential in Contaminated Soils</t>
  </si>
  <si>
    <t>Antoine Delemazure</t>
  </si>
  <si>
    <t>Razieh Khorabloo, Erik Meers , Filip M.G. Tack</t>
  </si>
  <si>
    <t>Role of Humic Substances in the Speciation, Mobility, and Transformation of Mercury in Natural Aquatic Systems</t>
  </si>
  <si>
    <t>Safonov Vladidmir</t>
  </si>
  <si>
    <t>Occurrence of Mercury and Trace Elements in Tea Leaves from a Coal Mining Region in Northeast India</t>
  </si>
  <si>
    <t>Prantik Sharma Baruah</t>
  </si>
  <si>
    <t>Bhargov Mudhukailya, Asif Qureshi, Jagannath Biswakarma, Farishta Yasmin</t>
  </si>
  <si>
    <t>Geochemical Redistribution Of Mercury In Freshly Added And Aged Mining Soil Systems</t>
  </si>
  <si>
    <t>Sandra Carrasco-Gil</t>
  </si>
  <si>
    <t>Cristina Ortega-Villasante, María-José Sierra-Herraiz, Carolina Escobar, Elena Díaz, Rocío Millán, Luis E. Hernández</t>
  </si>
  <si>
    <t>Multivariate Analysis of Mercury : Geochemical Associations and Hydrothermal Signatures</t>
  </si>
  <si>
    <t>G. Satheesh</t>
  </si>
  <si>
    <t>New Lab Analysis or Modelling Techniques</t>
  </si>
  <si>
    <t>Remote Sampling Technique for Hg Fractionation in Ambient Air</t>
  </si>
  <si>
    <t>Tony Rogers, Amauris H Hernandez, Timothy Williams, Teodor Andron</t>
  </si>
  <si>
    <t>11:05-11:15</t>
  </si>
  <si>
    <t>Mercury Removal Through Adsorption with Coal Fly Ash and Bottom Ash: Analysis Using Box-Behnken Design</t>
  </si>
  <si>
    <t>Fuzi Suciati Sastraatmaja</t>
  </si>
  <si>
    <t>Fuzi Suciati Sastraatmaja, Dwindrata B. Aviantara, Rochmad Onig Witama, Susi Sulistia, Muhammad Ihsan Sofyan, Esti Mega Mulidayanti, Agus Sudaryanto, Shohei Nishihama, Yasuhiro Ishibasi, Tetsuro Agusa</t>
  </si>
  <si>
    <t>11:15-11:30</t>
  </si>
  <si>
    <t>DeSOx Technology, an Effective System for Reducing Hg Emissions from Fossil and Alternative Fuel Combustion, Using a Precipitant and Continuous Hg Measurement</t>
  </si>
  <si>
    <t>Karel Borovec</t>
  </si>
  <si>
    <t xml:space="preserve">Lukaš Pilař, Zbyszek Szeliga, Zdeněk Neufinger, </t>
  </si>
  <si>
    <t>11:30-11:45</t>
  </si>
  <si>
    <t>Eliminating Mercury from Pore Characterisation Using Eutectic Gallium-Indium Porosimetry</t>
  </si>
  <si>
    <t>Stefan Stauder</t>
  </si>
  <si>
    <t>Martin Thomas, Francisco Sotomayor, Alyssa Henderson</t>
  </si>
  <si>
    <t>11:45-12:00</t>
  </si>
  <si>
    <t>Zeeman AAS as a Universal Approach for Mercury Determination in Samples with Complex Matrices</t>
  </si>
  <si>
    <t>Alexey Shashko</t>
  </si>
  <si>
    <t>Sergey Sholupov, Sergey Pogarev, Vladimir Ryzhov, Nikolay Mashyanov</t>
  </si>
  <si>
    <t>12:00-12:15</t>
  </si>
  <si>
    <t>Study on the Adsorption Mechanism of Hg(0) by Air Plasma Modified Carbon Nanotubes</t>
  </si>
  <si>
    <t>Jinjing Luo</t>
  </si>
  <si>
    <t>Ruoyu Li,Siqi Zhuo</t>
  </si>
  <si>
    <t>12:15-12:30</t>
  </si>
  <si>
    <t>Comparison of Selective Capture of Oxidised Mercury by Activated Carbon and Phosphate Glass Sorbents for Ambient Air and Waste Streams</t>
  </si>
  <si>
    <t>Laurel Sharpless, Krista Carlson, Mae Sexauer Gustin</t>
  </si>
  <si>
    <t>12:30-12:45</t>
  </si>
  <si>
    <t>Stable Isotopes and Mercury in the Trophic Niche of the ‘Lesser Goa Mustard Tarantula’ Thrigmopoeus Truculentus (Pocock, 1899), Goa, India</t>
  </si>
  <si>
    <t>Manoj Borkar</t>
  </si>
  <si>
    <t>K Srikanth, Asif Qureshi</t>
  </si>
  <si>
    <t>Study on the Development of an Automated Cold-Vapor Atomic Fluorescence Spectrometry (CV-AFS) Analysis System for</t>
  </si>
  <si>
    <t>Naoko Hishida</t>
  </si>
  <si>
    <t>Da-Wei Lin, Ling-Rong Liao, Alvin Chua, Yasuyuki Yamada, Ryuta Kurokawa, Akihiro Mitsui, Yumi Shimoz</t>
  </si>
  <si>
    <t>“Food of the Future”: Mercury Determination in Microalgae-Based Supplements by Direct Analysis</t>
  </si>
  <si>
    <t>Valentina Carrara</t>
  </si>
  <si>
    <t>Department of Energy Savannah River Site Mercury Legacy: Progress in Addressing Technical Challenges</t>
  </si>
  <si>
    <t>Christopher J. Bannochie</t>
  </si>
  <si>
    <t>B. B. Looney, H. H. Vermeulen, A. J. Boggess, T. L. White, V. R. Amiri, C. Fewox</t>
  </si>
  <si>
    <t>Direct Mercury Speciation in Solid Samples Using Thermal Release Coupled to Electrothermal Atomic Absorption Spectrometry</t>
  </si>
  <si>
    <t>Dmitrii Yur'evich Troitskii</t>
  </si>
  <si>
    <t>Olga V. Shuvaeva, Ivan A. Bekesha</t>
  </si>
  <si>
    <t>Rapid Combustion and Trap Method for Concurrent Determination of Total Mercury and Sample Preconcentration for Stable Isotopes Analysis</t>
  </si>
  <si>
    <t>Nimelan Veerasamy</t>
  </si>
  <si>
    <t>Nicolas V. Ortiz, Jeroen E. Sonke, David S. McLagan</t>
  </si>
  <si>
    <t>Performance Evaluation of a Novel Screening Tool for Mercury in Skin-Lightening Creams to Overcome Analytical Burden</t>
  </si>
  <si>
    <t>Sora Yasumatsu</t>
  </si>
  <si>
    <t>Kitichai Suwan, Tan Mei Shin, Hazumu Kinoshita, Alvin Chua, Tomoaki Watanabe</t>
  </si>
  <si>
    <t>A Validated Method for Accurate Isotopic Analysis of Total Mercury, Methylmercury and Inorganic Mercury in Environmental Samples</t>
  </si>
  <si>
    <t>Elizabeth Crowther</t>
  </si>
  <si>
    <t>Dalton Reynolds, Ben Wozniak, Hakan Gurleyuk</t>
  </si>
  <si>
    <t>A Novel Device Based on a Polymer Inclusion Membrane for the Monitoring of Hg in a Wastewater-Based Epidemiology. A Preliminary Study In Natural Waters</t>
  </si>
  <si>
    <t>Sergi Diez,  Clàudia Fontàs</t>
  </si>
  <si>
    <t>Training Tomorrow’s Policymakers in Science‑Informed Environmental Governance</t>
  </si>
  <si>
    <t>Functional and Structural Dynamics of merA: Molecular Profiling and in Silico Insights Into Hg2+ Reduction and Bioremediation By the MR1_IITISM Strain</t>
  </si>
  <si>
    <t>Indrani Das</t>
  </si>
  <si>
    <t>Manish Kumar Sharma, Rakesh De, Vipin Kumar</t>
  </si>
  <si>
    <t>Methyl Mercury Toxicity and Nanomaterial-Based Remediation</t>
  </si>
  <si>
    <t>Decoupled Mercury and Methylmercury Dynamics Along a River-to-Terminal-Lake Gradient in the Korgalzhyn Nature Reserve, Kazakhstan</t>
  </si>
  <si>
    <t>Alisher Alibekov</t>
  </si>
  <si>
    <t xml:space="preserve">Seunghee Han  , and Woojin Lee </t>
  </si>
  <si>
    <t>Freshwater and Oceans</t>
  </si>
  <si>
    <t>Mercury Levels and Fluxes from Major Rivers in Japan</t>
  </si>
  <si>
    <t>Toshio Sudo</t>
  </si>
  <si>
    <t>Kohji Marumoto, Kohki Furusho,Haruto Nakayama, Kosei Endo, Sun Chang, Takaaki Itai</t>
  </si>
  <si>
    <t>Dimethylmercury Contributes to Mercury Burdens in the California Current System</t>
  </si>
  <si>
    <t>Erik T. Paulson</t>
  </si>
  <si>
    <t>Johannes West, Julia M. Diaz, Amina T. Schartup</t>
  </si>
  <si>
    <t>Deep-Sea Tailings Placement: An Emerging Source of Mercury to the Deep Sea</t>
  </si>
  <si>
    <t>Omar Keshk</t>
  </si>
  <si>
    <t>Impact of the U-768 Wreck on Mercury Concentrations in Sediments, Bottom Waters, and Marine Organisms</t>
  </si>
  <si>
    <t>Roksana Malec</t>
  </si>
  <si>
    <t>A. Popławska, A. Zarzeczańska, J. Bełdowski, M. Bełdowska, M. Sapota, A. Dziubińska</t>
  </si>
  <si>
    <t>Mercury Concentrations in Feathers, Guano, and Eggshells of Pygoscelis Penguins from Admiralty Bay (Antarctica)</t>
  </si>
  <si>
    <t>Anna Panasiuk, Kinga Hoszek-Mandera, Robert Bialik, Katarzyna Fudala, Magdalena Bełdowska</t>
  </si>
  <si>
    <t>A Two-Step Reversible Model for Hg (II) Photoreduction: The Synergistic Roles of Thiolic DOM and Bicarbonate in Seawater</t>
  </si>
  <si>
    <t>Sangwoo Eom, Huu-Viet Nguyen, Asif Qureshi</t>
  </si>
  <si>
    <t>Assessment of Heavy Metal Concentration in the Pra River at the Shama District, Western Region, Ghana</t>
  </si>
  <si>
    <t>Winnifred Aku  Adotey</t>
  </si>
  <si>
    <t>Mercury in the Indian Coastal and Open-Ocean Water Column: Challenges and Future Directions</t>
  </si>
  <si>
    <t>Sneha Hanchinamani</t>
  </si>
  <si>
    <t xml:space="preserve">Manisha UK, , Krushna vudamala_x000D_
_x000D_
</t>
  </si>
  <si>
    <t>Mercury Pollution in River Ecosystems: Implications for Biodiversity Conservation</t>
  </si>
  <si>
    <t>Mohd Kamaluddin Sheikh</t>
  </si>
  <si>
    <t>Quantifying Carbonate Turnover and Mercury Source Variations Along the Walvis Ridge Hotspot Trail, South Atlantic Ocean</t>
  </si>
  <si>
    <t>Siddhant</t>
  </si>
  <si>
    <t>Huu-Viet Nguyen, Seunghee Han</t>
  </si>
  <si>
    <t>16:00-16:30</t>
  </si>
  <si>
    <t>General Discussion</t>
  </si>
  <si>
    <t>Advances in machine learning and process-based models (5)</t>
  </si>
  <si>
    <t>You may have the right data. Your analysis may be technically sound. Your research may be important.
But can your audience understand what it means, why it matters, and what they should do with it?
Whether you're presenting data to a regulator, explaining risk to a community, or briefing leadership on a mitigation plan, the gap between 'technically correct' and 'actually understood' can determine whether your work leads to action.
Whether you are a researcher, student, scientist, engineer, technical professional, or industry practitioner, the ability to communicate complex information clearly is critical. From research papers and reports to presentations, proposals, policy recommendations, and technical documentation, effective communication can determine whether good science simply gets reported—or actually gets understood and acted upon.
This hands-on workshop, facilitated by STC India, introduces practical techniques for turning complex scientific and technical information into clear, credible, audience-focused communication—without compromising technical accuracy or scientific integrity.
In this interactive workshop, participants will learn how to:
- Define the intended outcome: What should the audience understand, decide, or do after receiving your communication?
- Write for the audience: Adapt technical information for scientists, managers, regulators, policymakers, industry leaders, and non-specialists.
- Turn data into a clear message: Go beyond presenting numbers and findings to explain what they mean, why they matter, and what the audience should take away.
- Simplify without oversimplifying: Make complex technical information/concepts accessible while preserving while preserving scientific accuracy, context, nuance, and credibility. 
- Focus on what matters: Identify the data, evidence, assumptions, limitations, and insights that your audience actually needs.
- Communicate uncertainty and risk effectively: Present limitations, uncertainty, and competing interpretations clearly, without confusing or weakening the message.
- Move from evidence to action: Structure information so that research findings and technical evidence can support decisions, recommendations, policy discussions, and next steps.
- Test whether your communication works: Analyse and rewrite examples to discover whether technically correct information is producing the intended result.
What makes this workshop different?
This is not a session on grammar or writing rules.
Participants will work through practical examples and short exercises to transform real-world scientific and technical information into communication that is clearer, more purposeful, and more actionable.
By the end of this workshop, you will be able to:
- Turn a dataset or finding into a decision-ready message
- Calibrate technical detail for different audiences — from a regulator to a plant engineer to a community stakeholder
- Communicate uncertainty and risk without undercutting your findings
- Structure technical writing so it moves from evidence to recommendation to action
Who should attend:
The workshop is particularly relevant for students, research scholars, scientists, engineers, environmental and climate professionals, industry practitioners, and anyone who needs to communicate complex evidence to people beyond their immediate area of expertise. 
Those who need their technical work to be understood and acted on — not just published or filed.</t>
  </si>
  <si>
    <t>This workshop is aimed at anyone who may come in contact with mercury during the course of their work or wish to gain understanding of, or discuss mercury from an occupational exposure perspective. 
The workshop will focus on:
- Dangers of mercury to workers 
- Where can exposures happen?
- Unique aspects of mercury and exposure vectors
- Latest technology to monitor mercury vapour exposure
- Biomonitoring of mercury in workers
- Correct PPE for the job
- Case studies
- Open discussion</t>
  </si>
  <si>
    <t>Mercury pollution poses a significant threat to human health and the environment, particularly in regions where artisanal and small-scale gold mining, industrial processes, and waste management practices contribute to its emissions and releases. In response, the Minamata Convention on Mercury was adopted in 2013 as a global treaty to protect human health and the environment from Hg exposure. As of 2026, the Convention has multiple Parties and Signatories worldwide, with African countries being very much engaged in terms of its ratification and implementation.
This workshop brings together government officials, academic researchers, and NGO representatives from across Africa to examine the current status of Hg policy development, research and implementation. We will explore national experiences in translating Convention obligations into domestic legislation, regulatory frameworks, and practical interventions and research. Case studies will highlight advances towards improving Hg monitoring systems, phase-outs of mercury-added products, and strengthened institutional capacity, while also addressing persistent challenges such as limited resources, informal mining practices, and gaps in enforcement. 
Looking forward, the workshop will consider Africa’s trajectory in advancing Hg Science and Management. Key themes will include:
- Regional collaboration, 
- Integration of mercury policies into broader sustainable development agendas, and 
- The role of scientific research in guiding evidence-based decision-making, i.e., Hg Science and Management. 
Participants will discuss how African countries can leverage international support mechanisms, enhance stakeholder engagement, and build resilience against mercury-related risks.
By situating Africa’s progress within the global context of the Minamata Convention on Hg, this session aims to provide a comprehensive overview of where the continent stands today and where it is heading. Ultimately, the workshop seeks to foster dialogue that strengthens Africa’s collective voice in global mercury governance and accelerates the transition toward a Hg-free future.</t>
  </si>
  <si>
    <t>Professional Skills for Early CareEarly career researchers (ECRs) play a critical role in advancing mercury science and addressing global environmental challenges. However, many professional skills essential to scientific careers, such as proposal writing, peer review, and engagement with policy processes, are hardly addressed in formal academic training.
This workshop will provide an interactive platform for students and postdoctoral researchers to build key professional skills that support successful research careers. The session will focus on three core themes: 1. proposal writing for postdoctoral fellowships and early career funding opportunities, 2. the principles and responsibilities of peer review in scientific publishing, and 3. the role of science diplomacy in linking research with environmental policy.
Participants will gain practical insights into preparing competitive research proposals, understanding evaluation criteria used by funding agencies, and effectively communicating research ideas. The workshop will also introduce the peer review process, highlighting how constructive reviews contribute to maintaining scientific quality and integrity.
In addition, the session will explore the concept of science diplomacy and the growing role of scientists in informing environmental policy and international agreements, including the implementation of the Minamata Convention on Mercury.er Researchers in Mercury Science: Proposal Writing, Peer Review, and Science Diplomacy</t>
  </si>
  <si>
    <t>Mercury is unlike many other contaminants found in waste. As an element it cannot be destroyed, only removed, recovered or stabilised. It is reactive, liquid at room temperature, emits vapour and is toxic. Where waste is poorly managed, mercury is released to the environment, with consequences for human health.
Technologies for the environmentally sound treatment of mercury waste already exist, but capacity is uncommon and concentrated in a small number of wealthier countries. For many nations the absence of domestic treatment options makes export under the Basel Convention the principal route available, bringing high costs and complex transport requirements. Funding remains a persistent barrier where volumes are small and locations remote, particularly for developing countries and island states.
The choice between developing national treatment capacity and relying on export is rarely straightforward. At the same time, poor landfill practice and limited regulatory oversight continue to allow mercury to reach waterways. The export of recovered mercury permitted under the prior informed consent procedure of the Minamata Convention can keep treatment costs down for waste generators, but it also creates supplies of mercury whose eventual end use may lack transparency.
This workshop brings together speakers from UNEP, industry and technology providers to set out these challenges, explore potential solutions and highlight good practice.</t>
  </si>
  <si>
    <t>The workshop will introduce to the theory of atomic absorption spectrometry with Zeeman correction for non-selective background absorption and its applications for determining mercury in natural environments and various materials. A range of portable, laboratory, and online mercury determination instruments based on ZAAS will be presented. The method capabilities for the real-time analysis of air and hydrocarbon gases; direct pyrolysis of liquid and solid samples of complex composition; determination of mercury thermal speciation by programmable pyrolysis. During workshop, Lumex specialists will demonstrate real-time determination of mercury in air using portable analyzers and monitors. Using examples of complex samples, such as coal, oil, hair, fish, and others, the capabilities of the direct pyrolysis method will be demonstrated. In addition to rapid determination of total mercury, the determination of mercury thermoforms using programmable pyrolysis will be demonstrated.</t>
  </si>
  <si>
    <t>Air-Sea Exchange of Dimethylmercury in the Southern Ocean During GEOTRACES GP17-OCE and GP17-ANT</t>
  </si>
  <si>
    <t>Yipeng He</t>
  </si>
  <si>
    <t>Marissa Despins, Carl Lamborg, Robert Mason</t>
  </si>
  <si>
    <t>Azhar Hashmi, Shrutee Jain</t>
  </si>
  <si>
    <t>Zuleica C. Castilhos</t>
  </si>
  <si>
    <t>Marsya Mutmainah Handayani, Krishna Zaki</t>
  </si>
  <si>
    <t>Ari Feinberg</t>
  </si>
  <si>
    <t>Marta Turull, Sergi Diez, Lynwill Martin, Patricia Forbes</t>
  </si>
  <si>
    <t>Ricardo Gonçalves Cesar, Matheus Teixeira, Gustavo Koifman, Zuleica Castilhos</t>
  </si>
  <si>
    <t>Romério Briglia, Lillian M. Domingos, Thaís K Queiróz, Josué Souza, Thainá Farinchon, Gustavo Teixeira, Yan Fernandes, Ricardo Sierpe, Ricardo Cesar</t>
  </si>
  <si>
    <t xml:space="preserve"> Anny Leudjo Taka, Lynwill G Martin, Vernon Somerset &amp; Michael J Klink</t>
  </si>
  <si>
    <t xml:space="preserve"> Ezinne Ekwujuru, Anny Leudjo Taka, Lynwill G Martin, Mogolodi Dimpe &amp; Michael J Klink</t>
  </si>
  <si>
    <t xml:space="preserve">David Amouroux, Tereza Cristina Souza de Oliveira, Alina Kleindienst, Emanuel Tessier, Pascale Louvat, Pedro Costa Evangelista, Fernando Barbosa Egreja Filho, Naziano Pantoja Filizola Junior, Ednaldo Bras Severo, Claúdia Carvalhinho Windmöller </t>
  </si>
  <si>
    <t>Nikolay Mashyanov,Alexey Shashko,Vladimir Ryzhov,Ellen Perkins,Wade Barnes</t>
  </si>
  <si>
    <t>Sona Smetanova, Jiri Kalina, Jan Kuta, Petra Pribylová, Pavel Piller,
 Lenka Andryskova, Martin Scheringer, Jana Klanova, Klara Komprdova</t>
  </si>
  <si>
    <t>Aisyah Aisyah, Gabriela Rolanda, Saekhol Bakri, Ziyadatun Nabila, Megumi Yamamoto, Chihaya Koriyama</t>
  </si>
  <si>
    <t>Veronika Tursunova, Janja Snoj Tratnik, Darja Mazej, Marta Jagodic Hudabivnik, Peter Stegnar, Milena Horvat, Rustam Tuhvatshin, Zhanibek Muratov</t>
  </si>
  <si>
    <t>Adna Alilović Osolin, Janja Snoj Tratnik, Marta Jagodic Hudobivnik, Darja Mazej, David Kocman, Davor Kontić, Milena Horvat</t>
  </si>
  <si>
    <t>S.E. Pogarev, M.W. Mathebula, E.G. Panova, V.V. Ryzhov, N.S. Ivanov</t>
  </si>
  <si>
    <t>P. Brandl, S. Petersen, C. Winter, G. Von Rönn, J. Gottschalk, L. Heimbürger, J. Howe, S. Sander</t>
  </si>
  <si>
    <t>José I. Barquero  , Feliciano Bacale  , Oscar A. Ávalos , Ana Conde  , Javier Carrasco  , Rosina Martín  , Alicia Rivallo  , José Tejero , Joan Formosa  , Jessica Giro-Paloma  , Josep Ma. Chimenos  , Andrea Esposito</t>
  </si>
  <si>
    <t xml:space="preserve">José I. Barquero  , Feliciano Bacale , Oscar A. Ávalo, Ana Conde  , Javier Carrasco  , Rosina Martín  , Alicia Rivallo  , José Tejero , Joan Formosa  , Jessica Giro-Paloma  , Josep Ma. Chimenos  , Andrea Esposito </t>
  </si>
  <si>
    <t>Aaron Schultz, Tanveer Adyel, Asif Qureshi</t>
  </si>
  <si>
    <t>Olha Furman,Josh Ackerman, Paco Bustamante,Jess Brandt,Celia Chen,John Chetelat,
Marlene Evans,David Evers, Nadia Facciola,Tatsuya Hattori,Magali Houde,Kimmo Kahilainen,Eva Kruemmel,Yanju Ma,Aourell Mauffret, Marianna Pinzone,Heli Routti,Claudia Vega,Simon Wilson, Pianpian Wu,Eisaku Toda,Terry  Keating,Alexandra Steffen,Dominique Bally Kpokro</t>
  </si>
  <si>
    <t>Andrea Spolaor, Alfonso Saiz-Lopez</t>
  </si>
  <si>
    <t>Benedicta Y. Fosu-Mensah, Daniel Nukpezah</t>
  </si>
  <si>
    <t>Gabriel N. Cezarett, Juliette Esplugas, Pascale Louvat, Warren T. Corns, Fernando B. Junior, Maïté Bueno</t>
  </si>
  <si>
    <t>Megha Rajan, Mahesh Mohan</t>
  </si>
  <si>
    <t>Scope of utilizing lichens as biomonitors of atmospheric mercury pollution in India</t>
  </si>
  <si>
    <t>Farishta Yasmin</t>
  </si>
  <si>
    <t>Sanjeeva Nayaka, Debajyoti Paul</t>
  </si>
  <si>
    <t>Go Iwahana, Kanako Mantoku, Josephine Galipon, Akane Yamakawa, Kumiko Nakano</t>
  </si>
  <si>
    <t>Linroy Christian</t>
  </si>
  <si>
    <t>Eric Roy</t>
  </si>
  <si>
    <t>Hélène Angot, Johannes Bieser, Flora Brocza, Ashu Dastoor, Aryeh Feinberg, Jan Gačnik, Ling Li, Che-Jen Lin, Andrei Ryjkov, Anne Soerensen, Oleg Travnikov, Xun Wang, Yanxu Zhang</t>
  </si>
  <si>
    <t>15:45-16:00</t>
  </si>
  <si>
    <t>Monray Belelie, Lynwill Martin, Vernon Somerset</t>
  </si>
  <si>
    <t>Science Policy Interface (3) +  Mercury and other Heavy Metals in Traditional Medicines (5)</t>
  </si>
  <si>
    <t>Mercury and other Heavy Metals in Traditional Medicines</t>
  </si>
  <si>
    <t>Peter Maxson and Stephan Böse-O'Reilly</t>
  </si>
  <si>
    <t>Room X</t>
  </si>
  <si>
    <t>Discussion on Mercury in Oil and Gas Industry</t>
  </si>
  <si>
    <t> Eisaku Toda, Linroy Christian</t>
  </si>
  <si>
    <t>Malgorzata Alicja Stylo, Eisaku Toda, Dominique Bally Kprkro</t>
  </si>
  <si>
    <t>From Contamination to Closure: India’s Evolving Framework for Identification, Risk Assessment and Remediation of Mercury-Contaminated Sites</t>
  </si>
  <si>
    <t>12:45-1:00</t>
  </si>
  <si>
    <t>G Rambabu</t>
  </si>
  <si>
    <t>India's work on Phasing out Mercury Measuring Devices from Indian Healthcare</t>
  </si>
  <si>
    <t>Navin Verma</t>
  </si>
  <si>
    <t>Seminar Room 2</t>
  </si>
  <si>
    <t>Seminar Room 3/4</t>
  </si>
  <si>
    <t>Auditorium &amp; Seminar Room 2</t>
  </si>
  <si>
    <t>Gargi Biswas, Manoj Kumar, Anjali Dominic</t>
  </si>
  <si>
    <t>Keynote:                                                   Masami Ogata</t>
  </si>
  <si>
    <t>15:45 - 16:45: COMPLEXion of Change event. 16:45-18:30: The Toxic Trail of Beauty: Unpacking Mercury in Cosmetics through Data and Action (6)</t>
  </si>
  <si>
    <t>Conference Room 1</t>
  </si>
  <si>
    <t>Sofi Jonsson,Rune Dietz,Simon Wilson,Marina Arregui,Niladri Basu,Bridget Bergquist,
Eva Cecilie Bonefeld-Jørgensen,João Canário,Eva Kruemmel,Miling Li,Melissa McKinney,&amp;quot;John Munthe&amp;quot,Michelle Nerentorp,Tove Petersson, Marianna Pinzone, Henrik Skov, Jens Søndergaard</t>
  </si>
  <si>
    <t>Lead Author Name</t>
  </si>
  <si>
    <t>Dwindrata B. Aviantara, Rochmad Onig Witama, Susi Sulistia, Muhammad Ihsan Sofyan, Esti Mega Mulidayanti, Agus Sudaryanto, Shohei Nishihama, Yasuhiro Ishibasi, Tetsuro Agusa</t>
  </si>
  <si>
    <t>Efficient Synergistic Removal of Multi-Form Mercury from Cement Kiln Flue Gas Using Non-Carbon Zinc Sulfide</t>
  </si>
  <si>
    <t>Mingguang Zhang</t>
  </si>
  <si>
    <t>Bingxin Huang, Hailin Zheng, Jiefeng Chen, Hongxiao Zu, Fanyue Meng, Hailong Li</t>
  </si>
  <si>
    <t>Alexandra Steffen</t>
  </si>
  <si>
    <t>Geoff Stupple, Katrina MacSween</t>
  </si>
  <si>
    <t>Atmospheric Mercury Monitoring to Support International Priorities</t>
  </si>
  <si>
    <t>Mercury Removal Through Adsorption with Coal Fly Ash and Bottom Ash: Analysis Using Box-Behnken Design (1) + Kumamoto Prefecture, Minamata Talk - Part 2 (1)</t>
  </si>
  <si>
    <t> Heavy Metal Contamination of Traditional Medicines in South Africa and Implications for Human Health</t>
  </si>
  <si>
    <t>Conference Room 2</t>
  </si>
  <si>
    <t>12:45 - 14:00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</si>
</sst>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
  </numFmts>
  <fonts count="4" x14ac:knownFonts="1">
    <font>
      <sz val="12"/>
      <color theme="1"/>
      <name val="Calibri"/>
      <family val="2"/>
      <scheme val="minor"/>
    </font>
    <font>
      <sz val="10"/>
      <name val="Segoe UI"/>
      <family val="2"/>
    </font>
    <font>
      <sz val="12"/>
      <color theme="1"/>
      <name val="Calibri"/>
    </font>
    <font>
      <sz val="12"/>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14">
    <xf numFmtId="0" fontId="0" fillId="0" borderId="0" xfId="0"/>
    <xf numFmtId="15" fontId="0" fillId="0" borderId="0" xfId="0" applyNumberFormat="1"/>
    <xf numFmtId="164" fontId="0" fillId="0" borderId="0" xfId="0" applyNumberFormat="1"/>
    <xf numFmtId="20" fontId="0" fillId="0" borderId="0" xfId="0" applyNumberFormat="1"/>
    <xf numFmtId="21" fontId="0" fillId="0" borderId="0" xfId="0" applyNumberFormat="1"/>
    <xf numFmtId="0" fontId="0" fillId="0" borderId="0" xfId="0" applyAlignment="1">
      <alignment wrapText="1"/>
    </xf>
    <xf numFmtId="15" fontId="0" fillId="0" borderId="0" xfId="0" applyNumberFormat="1" applyAlignment="1">
      <alignment wrapText="1"/>
    </xf>
    <xf numFmtId="0" fontId="0" fillId="0" borderId="1" xfId="0" applyBorder="1"/>
    <xf numFmtId="164" fontId="0" fillId="0" borderId="0" xfId="0" applyNumberFormat="1" applyAlignment="1">
      <alignment wrapText="1"/>
    </xf>
    <xf numFmtId="20" fontId="0" fillId="0" borderId="0" xfId="0" applyNumberFormat="1" applyAlignment="1">
      <alignment wrapText="1"/>
    </xf>
    <xf numFmtId="0" fontId="1" fillId="0" borderId="0" xfId="0" applyFont="1"/>
    <xf numFmtId="0" fontId="2" fillId="0" borderId="0" xfId="1"/>
    <xf numFmtId="0" fontId="3" fillId="0" borderId="0" xfId="0" applyFont="1"/>
    <xf numFmtId="0" fontId="0" fillId="0" borderId="0" xfId="0" applyAlignment="1">
      <alignment wrapText="1"/>
    </xf>
  </cellXfs>
  <cellStyles count="2">
    <cellStyle name="Normal" xfId="0" builtinId="0"/>
    <cellStyle name="Normal 2" xfId="1" xr:uid="{5EA09341-F708-4C77-A707-DAEBA45190F7}"/>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unep.org/globalmercurypartnership/events/unep-event/complexion-change-challenging-colorism-through-policy-art-and-sci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3A8E-FAAE-4D38-848E-D8CBEB52E542}">
  <dimension ref="A2:F8"/>
  <sheetViews>
    <sheetView topLeftCell="B1" workbookViewId="0">
      <selection activeCell="C2" sqref="C2"/>
    </sheetView>
  </sheetViews>
  <sheetFormatPr defaultRowHeight="15.75" x14ac:dyDescent="0.25"/>
  <cols>
    <col min="1" max="1" width="9" style="11"/>
    <col min="2" max="2" width="12.25" style="11" customWidth="1"/>
    <col min="3" max="3" width="91.75" style="11" customWidth="1"/>
    <col min="4" max="4" width="21.375" style="11" customWidth="1"/>
    <col min="5" max="5" width="174.125" style="11" bestFit="1" customWidth="1"/>
    <col min="6" max="16384" width="9" style="11"/>
  </cols>
  <sheetData>
    <row r="2" spans="1:6" x14ac:dyDescent="0.25">
      <c r="B2" s="11" t="s">
        <v>209</v>
      </c>
      <c r="C2" s="11" t="s">
        <v>855</v>
      </c>
    </row>
    <row r="3" spans="1:6" x14ac:dyDescent="0.25">
      <c r="A3" s="8">
        <v>46301</v>
      </c>
      <c r="B3" s="11" t="s">
        <v>211</v>
      </c>
      <c r="C3" s="11" t="s">
        <v>986</v>
      </c>
    </row>
    <row r="6" spans="1:6" x14ac:dyDescent="0.25">
      <c r="A6" s="11" t="s">
        <v>212</v>
      </c>
    </row>
    <row r="7" spans="1:6" x14ac:dyDescent="0.25">
      <c r="A7" s="11" t="s">
        <v>11</v>
      </c>
      <c r="B7" s="11" t="s">
        <v>213</v>
      </c>
      <c r="C7" s="11" t="s">
        <v>346</v>
      </c>
      <c r="D7" s="11" t="s">
        <v>1003</v>
      </c>
      <c r="E7" s="11" t="s">
        <v>348</v>
      </c>
      <c r="F7" s="11" t="s">
        <v>217</v>
      </c>
    </row>
    <row r="8" spans="1:6" x14ac:dyDescent="0.25">
      <c r="A8" s="11" t="s">
        <v>471</v>
      </c>
      <c r="B8" s="11">
        <v>1063</v>
      </c>
      <c r="C8" s="11" t="s">
        <v>855</v>
      </c>
      <c r="D8" s="11" t="s">
        <v>856</v>
      </c>
      <c r="E8" s="11" t="s">
        <v>1004</v>
      </c>
      <c r="F8" s="1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9"/>
  <sheetViews>
    <sheetView topLeftCell="F1" zoomScale="55" zoomScaleNormal="55" workbookViewId="0">
      <selection activeCell="H9" sqref="H9"/>
    </sheetView>
  </sheetViews>
  <sheetFormatPr defaultColWidth="8.875" defaultRowHeight="15.75" x14ac:dyDescent="0.25"/>
  <cols>
    <col min="1" max="2" width="16.25" customWidth="1"/>
    <col min="3" max="3" width="20.75" customWidth="1"/>
    <col min="4" max="4" width="22.875" customWidth="1"/>
    <col min="5" max="5" width="54" customWidth="1"/>
    <col min="6" max="6" width="34" customWidth="1"/>
    <col min="7" max="7" width="34.875" customWidth="1"/>
    <col min="8" max="8" width="255.625" customWidth="1"/>
    <col min="9" max="9" width="25.125" customWidth="1"/>
    <col min="10" max="10" width="34" customWidth="1"/>
    <col min="11" max="11" width="50.75" customWidth="1"/>
    <col min="12" max="12" width="25.125" customWidth="1"/>
    <col min="13" max="13" width="34" customWidth="1"/>
    <col min="14" max="14" width="50.75" customWidth="1"/>
    <col min="15" max="15" width="25.125" customWidth="1"/>
    <col min="16" max="16" width="34" customWidth="1"/>
    <col min="17" max="17" width="50.75" customWidth="1"/>
    <col min="18" max="18" width="25.125" customWidth="1"/>
    <col min="19" max="19" width="34" customWidth="1"/>
    <col min="20" max="20" width="50.75" customWidth="1"/>
    <col min="21" max="21" width="25.125" customWidth="1"/>
    <col min="22" max="22" width="34" customWidth="1"/>
    <col min="23" max="23" width="50.75" customWidth="1"/>
    <col min="24" max="24" width="25.125" customWidth="1"/>
    <col min="25" max="25" width="34" customWidth="1"/>
    <col min="26" max="26" width="50.75" customWidth="1"/>
    <col min="27" max="27" width="25.125" customWidth="1"/>
    <col min="28" max="28" width="34" customWidth="1"/>
    <col min="29" max="29" width="50.75" customWidth="1"/>
    <col min="30" max="30" width="25.125" customWidth="1"/>
    <col min="31" max="31" width="34" customWidth="1"/>
    <col min="32" max="32" width="50.75" customWidth="1"/>
    <col min="33" max="33" width="25.125" customWidth="1"/>
    <col min="34" max="34" width="34" customWidth="1"/>
    <col min="35" max="35" width="50.75" customWidth="1"/>
    <col min="36" max="36" width="25.125" customWidth="1"/>
    <col min="37" max="37" width="34" customWidth="1"/>
    <col min="38" max="38" width="50.75" customWidth="1"/>
    <col min="39" max="39" width="25.125" customWidth="1"/>
    <col min="40" max="40" width="34" customWidth="1"/>
    <col min="41" max="41" width="50.75" customWidth="1"/>
    <col min="42" max="42" width="25.125" customWidth="1"/>
    <col min="43" max="43" width="34" customWidth="1"/>
    <col min="44" max="44" width="50.75" customWidth="1"/>
    <col min="45" max="45" width="16.25" customWidth="1"/>
    <col min="46" max="46" width="8.875" customWidth="1"/>
  </cols>
  <sheetData>
    <row r="1" spans="1:45" x14ac:dyDescent="0.25">
      <c r="A1" s="13" t="s">
        <v>0</v>
      </c>
      <c r="B1" s="13" t="s">
        <v>1</v>
      </c>
      <c r="C1" s="13" t="s">
        <v>1</v>
      </c>
      <c r="D1" s="13" t="s">
        <v>1</v>
      </c>
      <c r="E1" s="13" t="s">
        <v>1</v>
      </c>
      <c r="F1" s="13" t="s">
        <v>1</v>
      </c>
      <c r="G1" s="13" t="s">
        <v>1</v>
      </c>
      <c r="H1" s="13" t="s">
        <v>1</v>
      </c>
      <c r="I1" s="13" t="s">
        <v>2</v>
      </c>
      <c r="J1" s="13" t="s">
        <v>1</v>
      </c>
      <c r="K1" s="13" t="s">
        <v>1</v>
      </c>
      <c r="L1" s="13" t="s">
        <v>1</v>
      </c>
      <c r="M1" s="13" t="s">
        <v>1</v>
      </c>
      <c r="N1" s="13" t="s">
        <v>1</v>
      </c>
      <c r="O1" s="13" t="s">
        <v>1</v>
      </c>
      <c r="P1" s="13" t="s">
        <v>1</v>
      </c>
      <c r="Q1" s="13" t="s">
        <v>1</v>
      </c>
      <c r="R1" s="13" t="s">
        <v>1</v>
      </c>
      <c r="S1" s="13" t="s">
        <v>1</v>
      </c>
      <c r="T1" s="13" t="s">
        <v>1</v>
      </c>
      <c r="U1" s="13" t="s">
        <v>1</v>
      </c>
      <c r="V1" s="13" t="s">
        <v>1</v>
      </c>
      <c r="W1" s="13" t="s">
        <v>1</v>
      </c>
      <c r="X1" s="13" t="s">
        <v>1</v>
      </c>
      <c r="Y1" s="13" t="s">
        <v>1</v>
      </c>
      <c r="Z1" s="13" t="s">
        <v>1</v>
      </c>
      <c r="AA1" s="13" t="s">
        <v>3</v>
      </c>
      <c r="AB1" s="13" t="s">
        <v>1</v>
      </c>
      <c r="AC1" s="13" t="s">
        <v>1</v>
      </c>
      <c r="AD1" s="13" t="s">
        <v>1</v>
      </c>
      <c r="AE1" s="13" t="s">
        <v>1</v>
      </c>
      <c r="AF1" s="13" t="s">
        <v>1</v>
      </c>
      <c r="AG1" s="13" t="s">
        <v>1</v>
      </c>
      <c r="AH1" s="13" t="s">
        <v>1</v>
      </c>
      <c r="AI1" s="13" t="s">
        <v>1</v>
      </c>
      <c r="AJ1" s="13" t="s">
        <v>1</v>
      </c>
      <c r="AK1" s="13" t="s">
        <v>1</v>
      </c>
      <c r="AL1" s="13" t="s">
        <v>1</v>
      </c>
      <c r="AM1" s="13" t="s">
        <v>1</v>
      </c>
      <c r="AN1" s="13" t="s">
        <v>1</v>
      </c>
      <c r="AO1" s="13" t="s">
        <v>1</v>
      </c>
      <c r="AP1" s="13" t="s">
        <v>1</v>
      </c>
      <c r="AQ1" s="13" t="s">
        <v>1</v>
      </c>
      <c r="AR1" s="13" t="s">
        <v>1</v>
      </c>
      <c r="AS1" s="5" t="s">
        <v>4</v>
      </c>
    </row>
    <row r="2" spans="1:45" x14ac:dyDescent="0.25">
      <c r="A2" s="13" t="s">
        <v>5</v>
      </c>
      <c r="B2" s="13" t="s">
        <v>1</v>
      </c>
      <c r="C2" s="13" t="s">
        <v>1</v>
      </c>
      <c r="D2" s="13" t="s">
        <v>1</v>
      </c>
      <c r="E2" s="13" t="s">
        <v>1</v>
      </c>
      <c r="F2" s="13" t="s">
        <v>1</v>
      </c>
      <c r="G2" s="13" t="s">
        <v>1</v>
      </c>
      <c r="H2" s="13" t="s">
        <v>1</v>
      </c>
      <c r="I2" s="13" t="s">
        <v>6</v>
      </c>
      <c r="J2" s="13" t="s">
        <v>1</v>
      </c>
      <c r="K2" s="13" t="s">
        <v>1</v>
      </c>
      <c r="L2" s="13" t="s">
        <v>1</v>
      </c>
      <c r="M2" s="13" t="s">
        <v>1</v>
      </c>
      <c r="N2" s="13" t="s">
        <v>1</v>
      </c>
      <c r="O2" s="13" t="s">
        <v>1</v>
      </c>
      <c r="P2" s="13" t="s">
        <v>1</v>
      </c>
      <c r="Q2" s="13" t="s">
        <v>1</v>
      </c>
      <c r="R2" s="13" t="s">
        <v>1</v>
      </c>
      <c r="S2" s="13" t="s">
        <v>1</v>
      </c>
      <c r="T2" s="13" t="s">
        <v>1</v>
      </c>
      <c r="U2" s="13" t="s">
        <v>1</v>
      </c>
      <c r="V2" s="13" t="s">
        <v>1</v>
      </c>
      <c r="W2" s="13" t="s">
        <v>1</v>
      </c>
      <c r="X2" s="13" t="s">
        <v>1</v>
      </c>
      <c r="Y2" s="13" t="s">
        <v>1</v>
      </c>
      <c r="Z2" s="13" t="s">
        <v>1</v>
      </c>
      <c r="AA2" s="13" t="s">
        <v>7</v>
      </c>
      <c r="AB2" s="13" t="s">
        <v>1</v>
      </c>
      <c r="AC2" s="13" t="s">
        <v>1</v>
      </c>
      <c r="AD2" s="13" t="s">
        <v>1</v>
      </c>
      <c r="AE2" s="13" t="s">
        <v>1</v>
      </c>
      <c r="AF2" s="13" t="s">
        <v>1</v>
      </c>
      <c r="AG2" s="13" t="s">
        <v>1</v>
      </c>
      <c r="AH2" s="13" t="s">
        <v>1</v>
      </c>
      <c r="AI2" s="13" t="s">
        <v>1</v>
      </c>
      <c r="AJ2" s="13" t="s">
        <v>1</v>
      </c>
      <c r="AK2" s="13" t="s">
        <v>1</v>
      </c>
      <c r="AL2" s="13" t="s">
        <v>1</v>
      </c>
      <c r="AM2" s="13" t="s">
        <v>1</v>
      </c>
      <c r="AN2" s="13" t="s">
        <v>1</v>
      </c>
      <c r="AO2" s="13" t="s">
        <v>1</v>
      </c>
      <c r="AP2" s="13" t="s">
        <v>1</v>
      </c>
      <c r="AQ2" s="13" t="s">
        <v>1</v>
      </c>
      <c r="AR2" s="13" t="s">
        <v>1</v>
      </c>
      <c r="AS2" s="5" t="s">
        <v>8</v>
      </c>
    </row>
    <row r="3" spans="1:45" ht="39.6" customHeight="1" x14ac:dyDescent="0.25">
      <c r="A3" s="5" t="s">
        <v>9</v>
      </c>
      <c r="B3" s="5" t="s">
        <v>10</v>
      </c>
      <c r="C3" s="5" t="s">
        <v>11</v>
      </c>
      <c r="D3" s="5" t="s">
        <v>12</v>
      </c>
      <c r="E3" s="5" t="s">
        <v>13</v>
      </c>
      <c r="F3" s="5" t="s">
        <v>14</v>
      </c>
      <c r="G3" s="5" t="s">
        <v>15</v>
      </c>
      <c r="H3" s="5" t="s">
        <v>16</v>
      </c>
      <c r="I3" s="5" t="s">
        <v>17</v>
      </c>
      <c r="J3" s="5" t="s">
        <v>18</v>
      </c>
      <c r="K3" s="5" t="s">
        <v>19</v>
      </c>
      <c r="L3" s="5" t="s">
        <v>20</v>
      </c>
      <c r="M3" s="5" t="s">
        <v>21</v>
      </c>
      <c r="N3" s="5" t="s">
        <v>22</v>
      </c>
      <c r="O3" s="5" t="s">
        <v>23</v>
      </c>
      <c r="P3" s="5" t="s">
        <v>24</v>
      </c>
      <c r="Q3" s="5" t="s">
        <v>25</v>
      </c>
      <c r="R3" s="5" t="s">
        <v>26</v>
      </c>
      <c r="S3" s="5" t="s">
        <v>27</v>
      </c>
      <c r="T3" s="5" t="s">
        <v>28</v>
      </c>
      <c r="U3" s="5" t="s">
        <v>29</v>
      </c>
      <c r="V3" s="5" t="s">
        <v>30</v>
      </c>
      <c r="W3" s="5" t="s">
        <v>31</v>
      </c>
      <c r="X3" s="5" t="s">
        <v>32</v>
      </c>
      <c r="Y3" s="5" t="s">
        <v>33</v>
      </c>
      <c r="Z3" s="5" t="s">
        <v>34</v>
      </c>
      <c r="AA3" s="5" t="s">
        <v>35</v>
      </c>
      <c r="AB3" s="5" t="s">
        <v>36</v>
      </c>
      <c r="AC3" s="5" t="s">
        <v>37</v>
      </c>
      <c r="AD3" s="5" t="s">
        <v>38</v>
      </c>
      <c r="AE3" s="5" t="s">
        <v>39</v>
      </c>
      <c r="AF3" s="5" t="s">
        <v>40</v>
      </c>
      <c r="AG3" s="5" t="s">
        <v>41</v>
      </c>
      <c r="AH3" s="5" t="s">
        <v>42</v>
      </c>
      <c r="AI3" s="5" t="s">
        <v>43</v>
      </c>
      <c r="AJ3" s="5" t="s">
        <v>44</v>
      </c>
      <c r="AK3" s="5" t="s">
        <v>45</v>
      </c>
      <c r="AL3" s="5" t="s">
        <v>46</v>
      </c>
      <c r="AM3" s="5" t="s">
        <v>47</v>
      </c>
      <c r="AN3" s="5" t="s">
        <v>48</v>
      </c>
      <c r="AO3" s="5" t="s">
        <v>49</v>
      </c>
      <c r="AP3" s="5" t="s">
        <v>50</v>
      </c>
      <c r="AQ3" s="5" t="s">
        <v>51</v>
      </c>
      <c r="AR3" s="5" t="s">
        <v>52</v>
      </c>
      <c r="AS3" s="5" t="s">
        <v>53</v>
      </c>
    </row>
    <row r="4" spans="1:45" ht="408.6" customHeight="1" x14ac:dyDescent="0.25">
      <c r="A4" s="5" t="s">
        <v>54</v>
      </c>
      <c r="B4" s="6">
        <v>46299</v>
      </c>
      <c r="C4" s="5" t="s">
        <v>55</v>
      </c>
      <c r="D4" s="5" t="s">
        <v>56</v>
      </c>
      <c r="E4" s="5" t="s">
        <v>57</v>
      </c>
      <c r="F4" s="5" t="s">
        <v>58</v>
      </c>
      <c r="G4" s="5" t="s">
        <v>1</v>
      </c>
      <c r="H4" s="5" t="s">
        <v>940</v>
      </c>
      <c r="I4" s="5" t="s">
        <v>59</v>
      </c>
      <c r="J4" s="5" t="s">
        <v>60</v>
      </c>
      <c r="K4" s="5" t="s">
        <v>61</v>
      </c>
      <c r="L4" s="5" t="s">
        <v>62</v>
      </c>
      <c r="M4" s="5" t="s">
        <v>63</v>
      </c>
      <c r="N4" s="5" t="s">
        <v>64</v>
      </c>
      <c r="O4" s="5" t="s">
        <v>1</v>
      </c>
      <c r="P4" s="5"/>
      <c r="Q4" s="5" t="s">
        <v>1</v>
      </c>
      <c r="R4" s="5" t="s">
        <v>1</v>
      </c>
      <c r="S4" s="5" t="s">
        <v>1</v>
      </c>
      <c r="T4" s="5" t="s">
        <v>1</v>
      </c>
      <c r="U4" s="5" t="s">
        <v>1</v>
      </c>
      <c r="V4" s="5" t="s">
        <v>1</v>
      </c>
      <c r="W4" s="5" t="s">
        <v>1</v>
      </c>
      <c r="X4" s="5" t="s">
        <v>1</v>
      </c>
      <c r="Y4" s="5" t="s">
        <v>1</v>
      </c>
      <c r="Z4" s="5" t="s">
        <v>1</v>
      </c>
      <c r="AA4" s="5" t="s">
        <v>1</v>
      </c>
      <c r="AB4" s="5" t="s">
        <v>1</v>
      </c>
      <c r="AC4" s="5" t="s">
        <v>1</v>
      </c>
      <c r="AD4" s="5" t="s">
        <v>1</v>
      </c>
      <c r="AE4" s="5" t="s">
        <v>1</v>
      </c>
      <c r="AF4" s="5" t="s">
        <v>1</v>
      </c>
      <c r="AG4" s="5" t="s">
        <v>1</v>
      </c>
      <c r="AH4" s="5" t="s">
        <v>1</v>
      </c>
      <c r="AI4" s="5" t="s">
        <v>1</v>
      </c>
      <c r="AJ4" s="5" t="s">
        <v>1</v>
      </c>
      <c r="AK4" s="5" t="s">
        <v>1</v>
      </c>
      <c r="AL4" s="5" t="s">
        <v>1</v>
      </c>
      <c r="AM4" s="5" t="s">
        <v>1</v>
      </c>
      <c r="AN4" s="5" t="s">
        <v>1</v>
      </c>
      <c r="AO4" s="5" t="s">
        <v>1</v>
      </c>
      <c r="AP4" s="5" t="s">
        <v>1</v>
      </c>
      <c r="AQ4" s="5" t="s">
        <v>1</v>
      </c>
      <c r="AR4" s="5" t="s">
        <v>1</v>
      </c>
      <c r="AS4" s="5" t="s">
        <v>65</v>
      </c>
    </row>
    <row r="5" spans="1:45" ht="78.599999999999994" customHeight="1" x14ac:dyDescent="0.25">
      <c r="A5" s="5" t="s">
        <v>66</v>
      </c>
      <c r="B5" s="6">
        <v>46299</v>
      </c>
      <c r="C5" s="5" t="s">
        <v>55</v>
      </c>
      <c r="D5" s="5" t="s">
        <v>67</v>
      </c>
      <c r="E5" s="5" t="s">
        <v>68</v>
      </c>
      <c r="F5" s="5" t="s">
        <v>69</v>
      </c>
      <c r="G5" s="5" t="s">
        <v>70</v>
      </c>
      <c r="H5" s="5" t="s">
        <v>941</v>
      </c>
      <c r="I5" s="5" t="s">
        <v>71</v>
      </c>
      <c r="J5" s="5" t="s">
        <v>72</v>
      </c>
      <c r="K5" s="5" t="s">
        <v>73</v>
      </c>
      <c r="L5" s="5" t="s">
        <v>74</v>
      </c>
      <c r="M5" s="5" t="s">
        <v>75</v>
      </c>
      <c r="N5" s="5" t="s">
        <v>76</v>
      </c>
      <c r="O5" s="5" t="s">
        <v>77</v>
      </c>
      <c r="P5" s="5" t="s">
        <v>78</v>
      </c>
      <c r="Q5" s="5" t="s">
        <v>79</v>
      </c>
      <c r="R5" s="5" t="s">
        <v>80</v>
      </c>
      <c r="S5" s="5" t="s">
        <v>81</v>
      </c>
      <c r="T5" s="5" t="s">
        <v>82</v>
      </c>
      <c r="U5" s="5" t="s">
        <v>1</v>
      </c>
      <c r="V5" s="5" t="s">
        <v>1</v>
      </c>
      <c r="W5" s="5" t="s">
        <v>1</v>
      </c>
      <c r="X5" s="5" t="s">
        <v>1</v>
      </c>
      <c r="Y5" s="5" t="s">
        <v>1</v>
      </c>
      <c r="Z5" s="5" t="s">
        <v>1</v>
      </c>
      <c r="AA5" s="5" t="s">
        <v>1</v>
      </c>
      <c r="AB5" s="5" t="s">
        <v>1</v>
      </c>
      <c r="AC5" s="5" t="s">
        <v>1</v>
      </c>
      <c r="AD5" s="5" t="s">
        <v>1</v>
      </c>
      <c r="AE5" s="5" t="s">
        <v>1</v>
      </c>
      <c r="AF5" s="5" t="s">
        <v>1</v>
      </c>
      <c r="AG5" s="5" t="s">
        <v>1</v>
      </c>
      <c r="AH5" s="5" t="s">
        <v>1</v>
      </c>
      <c r="AI5" s="5" t="s">
        <v>1</v>
      </c>
      <c r="AJ5" s="5" t="s">
        <v>1</v>
      </c>
      <c r="AK5" s="5" t="s">
        <v>1</v>
      </c>
      <c r="AL5" s="5" t="s">
        <v>1</v>
      </c>
      <c r="AM5" s="5" t="s">
        <v>1</v>
      </c>
      <c r="AN5" s="5" t="s">
        <v>1</v>
      </c>
      <c r="AO5" s="5" t="s">
        <v>1</v>
      </c>
      <c r="AP5" s="5" t="s">
        <v>1</v>
      </c>
      <c r="AQ5" s="5" t="s">
        <v>1</v>
      </c>
      <c r="AR5" s="5" t="s">
        <v>1</v>
      </c>
      <c r="AS5" s="5" t="s">
        <v>65</v>
      </c>
    </row>
    <row r="6" spans="1:45" ht="409.6" customHeight="1" x14ac:dyDescent="0.25">
      <c r="A6" s="5" t="s">
        <v>83</v>
      </c>
      <c r="B6" s="6">
        <v>46299</v>
      </c>
      <c r="C6" s="5" t="s">
        <v>55</v>
      </c>
      <c r="D6" s="5" t="s">
        <v>84</v>
      </c>
      <c r="E6" s="5" t="s">
        <v>85</v>
      </c>
      <c r="F6" s="5" t="s">
        <v>86</v>
      </c>
      <c r="G6" s="5" t="s">
        <v>87</v>
      </c>
      <c r="H6" s="5" t="s">
        <v>942</v>
      </c>
      <c r="I6" s="5" t="s">
        <v>88</v>
      </c>
      <c r="J6" s="5" t="s">
        <v>89</v>
      </c>
      <c r="K6" s="5" t="s">
        <v>90</v>
      </c>
      <c r="L6" s="5" t="s">
        <v>91</v>
      </c>
      <c r="M6" s="5" t="s">
        <v>92</v>
      </c>
      <c r="N6" s="5" t="s">
        <v>93</v>
      </c>
      <c r="O6" s="5" t="s">
        <v>94</v>
      </c>
      <c r="P6" s="5" t="s">
        <v>95</v>
      </c>
      <c r="Q6" s="5" t="s">
        <v>96</v>
      </c>
      <c r="R6" s="5" t="s">
        <v>97</v>
      </c>
      <c r="S6" s="5" t="s">
        <v>98</v>
      </c>
      <c r="T6" s="5" t="s">
        <v>99</v>
      </c>
      <c r="U6" s="5" t="s">
        <v>100</v>
      </c>
      <c r="V6" s="5" t="s">
        <v>101</v>
      </c>
      <c r="W6" s="5" t="s">
        <v>102</v>
      </c>
      <c r="X6" s="5" t="s">
        <v>103</v>
      </c>
      <c r="Y6" s="5" t="s">
        <v>104</v>
      </c>
      <c r="Z6" s="5" t="s">
        <v>105</v>
      </c>
      <c r="AA6" s="5" t="s">
        <v>1</v>
      </c>
      <c r="AB6" s="5" t="s">
        <v>1</v>
      </c>
      <c r="AC6" s="5" t="s">
        <v>1</v>
      </c>
      <c r="AD6" s="5" t="s">
        <v>1</v>
      </c>
      <c r="AE6" s="5" t="s">
        <v>1</v>
      </c>
      <c r="AF6" s="5" t="s">
        <v>1</v>
      </c>
      <c r="AG6" s="5" t="s">
        <v>1</v>
      </c>
      <c r="AH6" s="5" t="s">
        <v>1</v>
      </c>
      <c r="AI6" s="5" t="s">
        <v>1</v>
      </c>
      <c r="AJ6" s="5" t="s">
        <v>1</v>
      </c>
      <c r="AK6" s="5" t="s">
        <v>1</v>
      </c>
      <c r="AL6" s="5" t="s">
        <v>1</v>
      </c>
      <c r="AM6" s="5" t="s">
        <v>1</v>
      </c>
      <c r="AN6" s="5" t="s">
        <v>1</v>
      </c>
      <c r="AO6" s="5" t="s">
        <v>1</v>
      </c>
      <c r="AP6" s="5" t="s">
        <v>1</v>
      </c>
      <c r="AQ6" s="5" t="s">
        <v>1</v>
      </c>
      <c r="AR6" s="5" t="s">
        <v>1</v>
      </c>
      <c r="AS6" s="5" t="s">
        <v>65</v>
      </c>
    </row>
    <row r="7" spans="1:45" ht="360" customHeight="1" x14ac:dyDescent="0.25">
      <c r="A7" s="5" t="s">
        <v>106</v>
      </c>
      <c r="B7" s="6">
        <v>46299</v>
      </c>
      <c r="C7" s="5" t="s">
        <v>107</v>
      </c>
      <c r="D7" s="5" t="s">
        <v>56</v>
      </c>
      <c r="E7" s="5" t="s">
        <v>108</v>
      </c>
      <c r="F7" s="5" t="s">
        <v>109</v>
      </c>
      <c r="G7" s="5" t="s">
        <v>110</v>
      </c>
      <c r="H7" s="5" t="s">
        <v>943</v>
      </c>
      <c r="I7" s="5" t="s">
        <v>1</v>
      </c>
      <c r="J7" s="5" t="s">
        <v>1</v>
      </c>
      <c r="K7" s="5" t="s">
        <v>1</v>
      </c>
      <c r="L7" s="5" t="s">
        <v>1</v>
      </c>
      <c r="M7" s="5" t="s">
        <v>1</v>
      </c>
      <c r="N7" s="5" t="s">
        <v>1</v>
      </c>
      <c r="O7" s="5" t="s">
        <v>1</v>
      </c>
      <c r="P7" s="5" t="s">
        <v>1</v>
      </c>
      <c r="Q7" s="5" t="s">
        <v>1</v>
      </c>
      <c r="R7" s="5" t="s">
        <v>1</v>
      </c>
      <c r="S7" s="5" t="s">
        <v>1</v>
      </c>
      <c r="T7" s="5" t="s">
        <v>1</v>
      </c>
      <c r="U7" s="5" t="s">
        <v>1</v>
      </c>
      <c r="V7" s="5" t="s">
        <v>1</v>
      </c>
      <c r="W7" s="5" t="s">
        <v>1</v>
      </c>
      <c r="X7" s="5" t="s">
        <v>1</v>
      </c>
      <c r="Y7" s="5" t="s">
        <v>1</v>
      </c>
      <c r="Z7" s="5" t="s">
        <v>1</v>
      </c>
      <c r="AA7" s="5" t="s">
        <v>1</v>
      </c>
      <c r="AB7" s="5" t="s">
        <v>1</v>
      </c>
      <c r="AC7" s="5" t="s">
        <v>1</v>
      </c>
      <c r="AD7" s="5" t="s">
        <v>1</v>
      </c>
      <c r="AE7" s="5" t="s">
        <v>1</v>
      </c>
      <c r="AF7" s="5" t="s">
        <v>1</v>
      </c>
      <c r="AG7" s="5" t="s">
        <v>1</v>
      </c>
      <c r="AH7" s="5" t="s">
        <v>1</v>
      </c>
      <c r="AI7" s="5" t="s">
        <v>1</v>
      </c>
      <c r="AJ7" s="5" t="s">
        <v>1</v>
      </c>
      <c r="AK7" s="5" t="s">
        <v>1</v>
      </c>
      <c r="AL7" s="5" t="s">
        <v>1</v>
      </c>
      <c r="AM7" s="5" t="s">
        <v>1</v>
      </c>
      <c r="AN7" s="5" t="s">
        <v>1</v>
      </c>
      <c r="AO7" s="5" t="s">
        <v>1</v>
      </c>
      <c r="AP7" s="5" t="s">
        <v>1</v>
      </c>
      <c r="AQ7" s="5" t="s">
        <v>1</v>
      </c>
      <c r="AR7" s="5" t="s">
        <v>1</v>
      </c>
      <c r="AS7" s="5" t="s">
        <v>65</v>
      </c>
    </row>
    <row r="8" spans="1:45" ht="405.6" customHeight="1" x14ac:dyDescent="0.25">
      <c r="A8" s="5" t="s">
        <v>111</v>
      </c>
      <c r="B8" s="6">
        <v>46299</v>
      </c>
      <c r="C8" s="5" t="s">
        <v>107</v>
      </c>
      <c r="D8" s="5" t="s">
        <v>67</v>
      </c>
      <c r="E8" s="5" t="s">
        <v>112</v>
      </c>
      <c r="F8" s="5" t="s">
        <v>113</v>
      </c>
      <c r="G8" s="5" t="s">
        <v>114</v>
      </c>
      <c r="H8" s="5" t="s">
        <v>944</v>
      </c>
      <c r="I8" s="5" t="s">
        <v>115</v>
      </c>
      <c r="J8" s="5" t="s">
        <v>116</v>
      </c>
      <c r="K8" s="5"/>
      <c r="L8" s="5" t="s">
        <v>117</v>
      </c>
      <c r="M8" s="5" t="s">
        <v>118</v>
      </c>
      <c r="N8" s="5" t="s">
        <v>1</v>
      </c>
      <c r="O8" s="5" t="s">
        <v>1</v>
      </c>
      <c r="P8" s="5" t="s">
        <v>1</v>
      </c>
      <c r="Q8" s="5" t="s">
        <v>1</v>
      </c>
      <c r="R8" s="5" t="s">
        <v>1</v>
      </c>
      <c r="S8" s="5" t="s">
        <v>1</v>
      </c>
      <c r="T8" s="5" t="s">
        <v>1</v>
      </c>
      <c r="U8" s="5" t="s">
        <v>1</v>
      </c>
      <c r="V8" s="5" t="s">
        <v>1</v>
      </c>
      <c r="W8" s="5" t="s">
        <v>1</v>
      </c>
      <c r="X8" s="5" t="s">
        <v>1</v>
      </c>
      <c r="Y8" s="5" t="s">
        <v>1</v>
      </c>
      <c r="Z8" s="5" t="s">
        <v>1</v>
      </c>
      <c r="AA8" s="5" t="s">
        <v>1</v>
      </c>
      <c r="AB8" s="5" t="s">
        <v>1</v>
      </c>
      <c r="AC8" s="5" t="s">
        <v>1</v>
      </c>
      <c r="AD8" s="5" t="s">
        <v>1</v>
      </c>
      <c r="AE8" s="5" t="s">
        <v>1</v>
      </c>
      <c r="AF8" s="5" t="s">
        <v>1</v>
      </c>
      <c r="AG8" s="5" t="s">
        <v>1</v>
      </c>
      <c r="AH8" s="5" t="s">
        <v>1</v>
      </c>
      <c r="AI8" s="5" t="s">
        <v>1</v>
      </c>
      <c r="AJ8" s="5" t="s">
        <v>1</v>
      </c>
      <c r="AK8" s="5" t="s">
        <v>1</v>
      </c>
      <c r="AL8" s="5" t="s">
        <v>1</v>
      </c>
      <c r="AM8" s="5" t="s">
        <v>1</v>
      </c>
      <c r="AN8" s="5" t="s">
        <v>1</v>
      </c>
      <c r="AO8" s="5" t="s">
        <v>1</v>
      </c>
      <c r="AP8" s="5" t="s">
        <v>1</v>
      </c>
      <c r="AQ8" s="5" t="s">
        <v>1</v>
      </c>
      <c r="AR8" s="5" t="s">
        <v>1</v>
      </c>
      <c r="AS8" s="5" t="s">
        <v>65</v>
      </c>
    </row>
    <row r="9" spans="1:45" ht="327.60000000000002" customHeight="1" x14ac:dyDescent="0.25">
      <c r="A9" s="5" t="s">
        <v>119</v>
      </c>
      <c r="B9" s="6">
        <v>46299</v>
      </c>
      <c r="C9" s="5" t="s">
        <v>107</v>
      </c>
      <c r="D9" s="5" t="s">
        <v>84</v>
      </c>
      <c r="E9" s="5" t="s">
        <v>120</v>
      </c>
      <c r="F9" s="5" t="s">
        <v>121</v>
      </c>
      <c r="G9" s="5"/>
      <c r="H9" s="5" t="s">
        <v>945</v>
      </c>
      <c r="I9" s="5" t="s">
        <v>122</v>
      </c>
      <c r="J9" s="5" t="s">
        <v>123</v>
      </c>
      <c r="K9" s="5" t="s">
        <v>1</v>
      </c>
      <c r="L9" s="5" t="s">
        <v>1</v>
      </c>
      <c r="M9" s="5" t="s">
        <v>1</v>
      </c>
      <c r="N9" s="5" t="s">
        <v>1</v>
      </c>
      <c r="O9" s="5" t="s">
        <v>1</v>
      </c>
      <c r="P9" s="5" t="s">
        <v>1</v>
      </c>
      <c r="Q9" s="5" t="s">
        <v>1</v>
      </c>
      <c r="R9" s="5" t="s">
        <v>1</v>
      </c>
      <c r="S9" s="5" t="s">
        <v>1</v>
      </c>
      <c r="T9" s="5" t="s">
        <v>1</v>
      </c>
      <c r="U9" s="5" t="s">
        <v>1</v>
      </c>
      <c r="V9" s="5" t="s">
        <v>1</v>
      </c>
      <c r="W9" s="5" t="s">
        <v>1</v>
      </c>
      <c r="X9" s="5" t="s">
        <v>1</v>
      </c>
      <c r="Y9" s="5" t="s">
        <v>1</v>
      </c>
      <c r="Z9" s="5" t="s">
        <v>1</v>
      </c>
      <c r="AA9" s="5" t="s">
        <v>1</v>
      </c>
      <c r="AB9" s="5" t="s">
        <v>1</v>
      </c>
      <c r="AC9" s="5" t="s">
        <v>1</v>
      </c>
      <c r="AD9" s="5" t="s">
        <v>1</v>
      </c>
      <c r="AE9" s="5" t="s">
        <v>1</v>
      </c>
      <c r="AF9" s="5" t="s">
        <v>1</v>
      </c>
      <c r="AG9" s="5" t="s">
        <v>1</v>
      </c>
      <c r="AH9" s="5" t="s">
        <v>1</v>
      </c>
      <c r="AI9" s="5" t="s">
        <v>1</v>
      </c>
      <c r="AJ9" s="5" t="s">
        <v>1</v>
      </c>
      <c r="AK9" s="5" t="s">
        <v>1</v>
      </c>
      <c r="AL9" s="5" t="s">
        <v>1</v>
      </c>
      <c r="AM9" s="5" t="s">
        <v>1</v>
      </c>
      <c r="AN9" s="5" t="s">
        <v>1</v>
      </c>
      <c r="AO9" s="5" t="s">
        <v>1</v>
      </c>
      <c r="AP9" s="5" t="s">
        <v>1</v>
      </c>
      <c r="AQ9" s="5" t="s">
        <v>1</v>
      </c>
      <c r="AR9" s="5" t="s">
        <v>1</v>
      </c>
      <c r="AS9" s="5" t="s">
        <v>65</v>
      </c>
    </row>
  </sheetData>
  <mergeCells count="6">
    <mergeCell ref="A1:H1"/>
    <mergeCell ref="I1:Z1"/>
    <mergeCell ref="AA1:AR1"/>
    <mergeCell ref="A2:H2"/>
    <mergeCell ref="I2:Z2"/>
    <mergeCell ref="AA2:AR2"/>
  </mergeCells>
  <pageMargins left="0.7" right="0.7" top="0.75" bottom="0.75" header="0.3" footer="0.3"/>
  <ignoredErrors>
    <ignoredError sqref="A1:AS3 A9:G9 A4:G4 I4:AS4 A5:G5 I5:AS5 A6:G6 I6:AS6 A7:G7 I7:AS7 A8:G8 I8:AS8 I9:AS9"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F70"/>
  <sheetViews>
    <sheetView tabSelected="1" topLeftCell="A38" zoomScale="79" zoomScaleNormal="79" workbookViewId="0">
      <selection activeCell="C69" sqref="C69"/>
    </sheetView>
  </sheetViews>
  <sheetFormatPr defaultRowHeight="15.75" x14ac:dyDescent="0.25"/>
  <cols>
    <col min="1" max="1" width="77.875" customWidth="1"/>
    <col min="2" max="2" width="18.75" customWidth="1"/>
    <col min="3" max="3" width="119.75" bestFit="1" customWidth="1"/>
    <col min="4" max="4" width="60.875" customWidth="1"/>
    <col min="5" max="5" width="54" customWidth="1"/>
    <col min="6" max="6" width="75.625" bestFit="1" customWidth="1"/>
    <col min="7" max="7" width="28.375" customWidth="1"/>
  </cols>
  <sheetData>
    <row r="3" spans="1:6" x14ac:dyDescent="0.25">
      <c r="A3" s="2">
        <v>46299</v>
      </c>
      <c r="B3" t="s">
        <v>124</v>
      </c>
    </row>
    <row r="4" spans="1:6" x14ac:dyDescent="0.25">
      <c r="C4" t="s">
        <v>125</v>
      </c>
      <c r="D4" t="s">
        <v>56</v>
      </c>
      <c r="E4" t="s">
        <v>67</v>
      </c>
      <c r="F4" t="s">
        <v>84</v>
      </c>
    </row>
    <row r="5" spans="1:6" ht="43.15" customHeight="1" x14ac:dyDescent="0.25">
      <c r="A5" t="s">
        <v>126</v>
      </c>
      <c r="B5" t="s">
        <v>55</v>
      </c>
      <c r="D5" t="str" cm="1">
        <f t="array" ref="D5">IFERROR(LOOKUP(2,1/((Workshops!$B$4:$B$200=$A$3)*(Workshops!$C$4:$C$200=$B5)*(Workshops!$D$4:$D$200=D$4)*(Workshops!$AS$4:$AS$200&lt;&gt;"No")),Workshops!$E$4:$E$200),"")</f>
        <v>Right Data, Wrong Message? Communicating Science So It Drives Action. Technical Writing &amp; Science Communication Workshop</v>
      </c>
      <c r="E5" t="str" cm="1">
        <f t="array" ref="E5">IFERROR(LOOKUP(2,1/((Workshops!$B$4:$B$200=$A$3)*(Workshops!$C$4:$C$200=$B5)*(Workshops!$D$4:$D$200=E$4)*(Workshops!$AS$4:$AS$200&lt;&gt;"No")),Workshops!$E$4:$E$200),"")</f>
        <v>Mercury Safety and Exposure: Best practice, latest technologies, case studies and compliance</v>
      </c>
      <c r="F5" t="str" cm="1">
        <f t="array" ref="F5">IFERROR(LOOKUP(2,1/((Workshops!$B$4:$B$200=$A$3)*(Workshops!$C$4:$C$200=$B5)*(Workshops!$D$4:$D$200=F$4)*(Workshops!$AS$4:$AS$200&lt;&gt;"No")),Workshops!$E$4:$E$200),"")</f>
        <v>Status of Mercury Policy Development, Research and Implementation in Africa</v>
      </c>
    </row>
    <row r="6" spans="1:6" ht="72" customHeight="1" x14ac:dyDescent="0.25">
      <c r="A6" t="s">
        <v>127</v>
      </c>
      <c r="B6" t="s">
        <v>107</v>
      </c>
      <c r="D6" t="str" cm="1">
        <f t="array" ref="D6">IFERROR(LOOKUP(2,1/((Workshops!$B$4:$B$200=$A$3)*(Workshops!$C$4:$C$200=$B6)*(Workshops!$D$4:$D$200=D$4)*(Workshops!$AS$4:$AS$200&lt;&gt;"No")),Workshops!$E$4:$E$200),"")</f>
        <v>Professional Skills for Early Career Researchers in Mercury Science: Proposal Writing, Peer Review, and Science Diplomacy</v>
      </c>
      <c r="E6" t="str" cm="1">
        <f t="array" ref="E6">IFERROR(LOOKUP(2,1/((Workshops!$B$4:$B$200=$A$3)*(Workshops!$C$4:$C$200=$B6)*(Workshops!$D$4:$D$200=E$4)*(Workshops!$AS$4:$AS$200&lt;&gt;"No")),Workshops!$E$4:$E$200),"")</f>
        <v>Hazardous Waste Workshop: a discussion on complexities and solutions regarding the environmentally sound treatment of mercury waste</v>
      </c>
      <c r="F6" t="str" cm="1">
        <f t="array" ref="F6">IFERROR(LOOKUP(2,1/((Workshops!$B$4:$B$200=$A$3)*(Workshops!$C$4:$C$200=$B6)*(Workshops!$D$4:$D$200=F$4)*(Workshops!$AS$4:$AS$200&lt;&gt;"No")),Workshops!$E$4:$E$200),"")</f>
        <v>Zeeman AAS (ZAAS) for direct mercury determination in samples with complex matrices</v>
      </c>
    </row>
    <row r="7" spans="1:6" x14ac:dyDescent="0.25">
      <c r="A7" t="s">
        <v>128</v>
      </c>
      <c r="B7" t="s">
        <v>129</v>
      </c>
      <c r="C7" t="s">
        <v>130</v>
      </c>
    </row>
    <row r="8" spans="1:6" x14ac:dyDescent="0.25">
      <c r="A8" t="s">
        <v>131</v>
      </c>
      <c r="B8" t="s">
        <v>132</v>
      </c>
      <c r="C8" t="s">
        <v>133</v>
      </c>
    </row>
    <row r="10" spans="1:6" x14ac:dyDescent="0.25">
      <c r="A10" t="s">
        <v>134</v>
      </c>
      <c r="B10" t="s">
        <v>135</v>
      </c>
      <c r="C10" t="s">
        <v>136</v>
      </c>
    </row>
    <row r="12" spans="1:6" x14ac:dyDescent="0.25">
      <c r="A12" s="2">
        <v>46300</v>
      </c>
      <c r="B12" t="s">
        <v>137</v>
      </c>
    </row>
    <row r="13" spans="1:6" x14ac:dyDescent="0.25">
      <c r="C13" t="s">
        <v>125</v>
      </c>
      <c r="D13" t="s">
        <v>995</v>
      </c>
      <c r="E13" t="s">
        <v>996</v>
      </c>
      <c r="F13" t="s">
        <v>1001</v>
      </c>
    </row>
    <row r="14" spans="1:6" ht="28.9" customHeight="1" x14ac:dyDescent="0.25">
      <c r="A14" t="s">
        <v>138</v>
      </c>
      <c r="B14" t="s">
        <v>139</v>
      </c>
      <c r="C14" t="s">
        <v>140</v>
      </c>
    </row>
    <row r="15" spans="1:6" x14ac:dyDescent="0.25">
      <c r="A15" t="s">
        <v>141</v>
      </c>
      <c r="B15" t="s">
        <v>142</v>
      </c>
      <c r="C15" t="s">
        <v>141</v>
      </c>
    </row>
    <row r="16" spans="1:6" ht="28.9" customHeight="1" x14ac:dyDescent="0.25">
      <c r="A16" t="s">
        <v>143</v>
      </c>
      <c r="B16" t="s">
        <v>144</v>
      </c>
      <c r="C16" t="s">
        <v>145</v>
      </c>
      <c r="D16" t="s">
        <v>146</v>
      </c>
      <c r="E16" t="s">
        <v>147</v>
      </c>
      <c r="F16" t="s">
        <v>148</v>
      </c>
    </row>
    <row r="17" spans="1:6" x14ac:dyDescent="0.25">
      <c r="A17" t="s">
        <v>149</v>
      </c>
      <c r="B17" t="s">
        <v>150</v>
      </c>
      <c r="C17" t="s">
        <v>151</v>
      </c>
    </row>
    <row r="18" spans="1:6" ht="28.9" customHeight="1" x14ac:dyDescent="0.25">
      <c r="A18" t="s">
        <v>152</v>
      </c>
      <c r="B18" t="s">
        <v>153</v>
      </c>
      <c r="C18" t="s">
        <v>154</v>
      </c>
      <c r="D18" t="s">
        <v>155</v>
      </c>
      <c r="E18" t="s">
        <v>156</v>
      </c>
      <c r="F18" t="s">
        <v>148</v>
      </c>
    </row>
    <row r="19" spans="1:6" x14ac:dyDescent="0.25">
      <c r="A19" t="s">
        <v>141</v>
      </c>
      <c r="B19" t="s">
        <v>157</v>
      </c>
    </row>
    <row r="20" spans="1:6" ht="72" customHeight="1" x14ac:dyDescent="0.25">
      <c r="A20" t="s">
        <v>158</v>
      </c>
      <c r="B20" t="s">
        <v>159</v>
      </c>
      <c r="C20" t="s">
        <v>160</v>
      </c>
      <c r="D20" t="s">
        <v>939</v>
      </c>
      <c r="E20" t="s">
        <v>161</v>
      </c>
      <c r="F20" t="s">
        <v>987</v>
      </c>
    </row>
    <row r="22" spans="1:6" x14ac:dyDescent="0.25">
      <c r="A22" t="s">
        <v>162</v>
      </c>
      <c r="B22" t="s">
        <v>163</v>
      </c>
    </row>
    <row r="24" spans="1:6" x14ac:dyDescent="0.25">
      <c r="A24" t="s">
        <v>164</v>
      </c>
    </row>
    <row r="26" spans="1:6" x14ac:dyDescent="0.25">
      <c r="A26" s="2">
        <v>46301</v>
      </c>
      <c r="B26" t="s">
        <v>165</v>
      </c>
    </row>
    <row r="27" spans="1:6" x14ac:dyDescent="0.25">
      <c r="C27" t="s">
        <v>125</v>
      </c>
      <c r="D27" t="s">
        <v>995</v>
      </c>
      <c r="E27" t="s">
        <v>996</v>
      </c>
      <c r="F27" t="s">
        <v>1013</v>
      </c>
    </row>
    <row r="28" spans="1:6" ht="28.9" customHeight="1" x14ac:dyDescent="0.25">
      <c r="A28" t="s">
        <v>999</v>
      </c>
      <c r="B28" t="s">
        <v>139</v>
      </c>
      <c r="C28" t="s">
        <v>166</v>
      </c>
    </row>
    <row r="29" spans="1:6" x14ac:dyDescent="0.25">
      <c r="A29" t="s">
        <v>141</v>
      </c>
      <c r="B29" t="s">
        <v>142</v>
      </c>
      <c r="C29" t="s">
        <v>141</v>
      </c>
    </row>
    <row r="30" spans="1:6" ht="28.9" customHeight="1" x14ac:dyDescent="0.25">
      <c r="A30" t="s">
        <v>143</v>
      </c>
      <c r="B30" t="s">
        <v>144</v>
      </c>
      <c r="C30" t="s">
        <v>167</v>
      </c>
      <c r="D30" t="s">
        <v>168</v>
      </c>
      <c r="E30" t="s">
        <v>169</v>
      </c>
      <c r="F30" t="s">
        <v>148</v>
      </c>
    </row>
    <row r="31" spans="1:6" x14ac:dyDescent="0.25">
      <c r="A31" t="s">
        <v>151</v>
      </c>
      <c r="B31" t="s">
        <v>150</v>
      </c>
      <c r="C31" t="s">
        <v>151</v>
      </c>
    </row>
    <row r="32" spans="1:6" ht="57.6" customHeight="1" x14ac:dyDescent="0.25">
      <c r="A32" t="s">
        <v>170</v>
      </c>
      <c r="B32" t="s">
        <v>153</v>
      </c>
      <c r="C32" t="s">
        <v>171</v>
      </c>
      <c r="D32" t="s">
        <v>172</v>
      </c>
      <c r="E32" t="s">
        <v>173</v>
      </c>
      <c r="F32" t="s">
        <v>148</v>
      </c>
    </row>
    <row r="33" spans="1:6" x14ac:dyDescent="0.25">
      <c r="A33" t="s">
        <v>141</v>
      </c>
      <c r="B33" t="s">
        <v>157</v>
      </c>
    </row>
    <row r="34" spans="1:6" ht="43.15" customHeight="1" x14ac:dyDescent="0.25">
      <c r="A34" t="s">
        <v>174</v>
      </c>
      <c r="B34" t="s">
        <v>159</v>
      </c>
      <c r="C34" t="s">
        <v>175</v>
      </c>
      <c r="D34" t="s">
        <v>1000</v>
      </c>
      <c r="E34" t="s">
        <v>176</v>
      </c>
      <c r="F34" t="s">
        <v>1011</v>
      </c>
    </row>
    <row r="36" spans="1:6" x14ac:dyDescent="0.25">
      <c r="A36" t="s">
        <v>164</v>
      </c>
    </row>
    <row r="39" spans="1:6" x14ac:dyDescent="0.25">
      <c r="A39" s="2">
        <v>46302</v>
      </c>
      <c r="B39" t="s">
        <v>177</v>
      </c>
    </row>
    <row r="40" spans="1:6" ht="28.9" customHeight="1" x14ac:dyDescent="0.25">
      <c r="B40" t="s">
        <v>178</v>
      </c>
      <c r="C40" t="s">
        <v>179</v>
      </c>
    </row>
    <row r="41" spans="1:6" ht="28.9" customHeight="1" x14ac:dyDescent="0.25">
      <c r="B41" t="s">
        <v>180</v>
      </c>
      <c r="C41" t="s">
        <v>181</v>
      </c>
    </row>
    <row r="44" spans="1:6" x14ac:dyDescent="0.25">
      <c r="A44" s="2">
        <v>46303</v>
      </c>
      <c r="B44" t="s">
        <v>182</v>
      </c>
    </row>
    <row r="45" spans="1:6" x14ac:dyDescent="0.25">
      <c r="C45" t="s">
        <v>125</v>
      </c>
      <c r="D45" t="s">
        <v>995</v>
      </c>
      <c r="E45" t="s">
        <v>996</v>
      </c>
      <c r="F45" t="s">
        <v>1013</v>
      </c>
    </row>
    <row r="46" spans="1:6" ht="28.9" customHeight="1" x14ac:dyDescent="0.25">
      <c r="A46" t="s">
        <v>183</v>
      </c>
      <c r="B46" t="s">
        <v>139</v>
      </c>
      <c r="C46" t="s">
        <v>184</v>
      </c>
    </row>
    <row r="47" spans="1:6" x14ac:dyDescent="0.25">
      <c r="A47" t="s">
        <v>141</v>
      </c>
      <c r="B47" t="s">
        <v>142</v>
      </c>
      <c r="C47" t="s">
        <v>141</v>
      </c>
    </row>
    <row r="48" spans="1:6" x14ac:dyDescent="0.25">
      <c r="A48" t="s">
        <v>143</v>
      </c>
      <c r="B48" t="s">
        <v>144</v>
      </c>
      <c r="C48" t="s">
        <v>185</v>
      </c>
      <c r="D48" t="s">
        <v>186</v>
      </c>
      <c r="E48" t="s">
        <v>187</v>
      </c>
      <c r="F48" t="s">
        <v>148</v>
      </c>
    </row>
    <row r="49" spans="1:5" x14ac:dyDescent="0.25">
      <c r="A49" t="s">
        <v>151</v>
      </c>
      <c r="B49" t="s">
        <v>150</v>
      </c>
      <c r="C49" t="s">
        <v>151</v>
      </c>
    </row>
    <row r="50" spans="1:5" ht="28.9" customHeight="1" x14ac:dyDescent="0.25">
      <c r="A50" t="s">
        <v>170</v>
      </c>
      <c r="B50" t="s">
        <v>153</v>
      </c>
      <c r="C50" t="s">
        <v>188</v>
      </c>
      <c r="D50" t="s">
        <v>189</v>
      </c>
      <c r="E50" t="s">
        <v>190</v>
      </c>
    </row>
    <row r="51" spans="1:5" ht="28.9" customHeight="1" x14ac:dyDescent="0.25">
      <c r="A51" t="s">
        <v>191</v>
      </c>
      <c r="B51" t="s">
        <v>192</v>
      </c>
    </row>
    <row r="52" spans="1:5" ht="28.9" customHeight="1" x14ac:dyDescent="0.25">
      <c r="A52" t="s">
        <v>174</v>
      </c>
      <c r="B52" t="s">
        <v>159</v>
      </c>
      <c r="C52" t="s">
        <v>193</v>
      </c>
      <c r="D52" t="s">
        <v>983</v>
      </c>
      <c r="E52" t="s">
        <v>194</v>
      </c>
    </row>
    <row r="55" spans="1:5" x14ac:dyDescent="0.25">
      <c r="A55" t="s">
        <v>164</v>
      </c>
    </row>
    <row r="57" spans="1:5" x14ac:dyDescent="0.25">
      <c r="A57" t="s">
        <v>196</v>
      </c>
      <c r="B57" t="s">
        <v>197</v>
      </c>
    </row>
    <row r="62" spans="1:5" x14ac:dyDescent="0.25">
      <c r="A62" s="2">
        <v>46304</v>
      </c>
      <c r="B62" t="s">
        <v>198</v>
      </c>
    </row>
    <row r="63" spans="1:5" x14ac:dyDescent="0.25">
      <c r="C63" t="s">
        <v>125</v>
      </c>
      <c r="D63" t="s">
        <v>1013</v>
      </c>
    </row>
    <row r="64" spans="1:5" ht="31.9" customHeight="1" x14ac:dyDescent="0.25">
      <c r="A64" t="s">
        <v>199</v>
      </c>
      <c r="B64" t="s">
        <v>139</v>
      </c>
      <c r="C64" t="s">
        <v>200</v>
      </c>
    </row>
    <row r="65" spans="1:4" x14ac:dyDescent="0.25">
      <c r="A65" t="s">
        <v>141</v>
      </c>
      <c r="B65" t="s">
        <v>142</v>
      </c>
      <c r="C65" t="s">
        <v>141</v>
      </c>
      <c r="D65" t="s">
        <v>195</v>
      </c>
    </row>
    <row r="66" spans="1:4" x14ac:dyDescent="0.25">
      <c r="A66" t="s">
        <v>201</v>
      </c>
      <c r="B66" t="s">
        <v>202</v>
      </c>
      <c r="C66" t="s">
        <v>203</v>
      </c>
    </row>
    <row r="67" spans="1:4" x14ac:dyDescent="0.25">
      <c r="A67" t="s">
        <v>151</v>
      </c>
      <c r="B67" t="s">
        <v>1014</v>
      </c>
      <c r="C67" t="s">
        <v>151</v>
      </c>
    </row>
    <row r="70" spans="1:4" ht="43.15" customHeight="1" x14ac:dyDescent="0.25">
      <c r="A70" t="s">
        <v>204</v>
      </c>
      <c r="B70" t="s">
        <v>205</v>
      </c>
      <c r="C70" t="s">
        <v>206</v>
      </c>
    </row>
  </sheetData>
  <hyperlinks>
    <hyperlink ref="C41" r:id="rId1" xr:uid="{00000000-0004-0000-0100-000000000000}"/>
  </hyperlinks>
  <pageMargins left="0.7" right="0.7" top="0.75" bottom="0.75" header="0.3" footer="0.3"/>
  <ignoredErrors>
    <ignoredError sqref="A2:G12 A19 A18:B18 D18:G18 A21:G26 A20:B20 E20 E19:G19 C19 A54:G62 D53:E53 G53 A52:C52 E52:G52 A14:G17 A13:C13 G13 A29:G33 A27:C27 G27 A46:G49 A45:C45 G45 G20 A64:C64 A63:C63 G63 B28:G28 A35:G44 A34:C34 E34 A51:E51 G51 A50:E50 G50 A68:G75 A65:B65 E65 G65 G64 A66:C66 G66 E64 E6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7"/>
  <sheetViews>
    <sheetView workbookViewId="0">
      <selection activeCell="A3" sqref="A3"/>
    </sheetView>
  </sheetViews>
  <sheetFormatPr defaultColWidth="8.75" defaultRowHeight="15.75" x14ac:dyDescent="0.25"/>
  <cols>
    <col min="1" max="1" width="14.75" style="5" customWidth="1"/>
    <col min="2" max="2" width="13.5" style="5" bestFit="1" customWidth="1"/>
    <col min="3" max="3" width="75.75" style="5" customWidth="1"/>
    <col min="4" max="4" width="17" style="5" customWidth="1"/>
    <col min="5" max="5" width="52.75" style="5" customWidth="1"/>
    <col min="6" max="6" width="8.625" style="5" customWidth="1"/>
    <col min="7" max="16384" width="8.75" style="5"/>
  </cols>
  <sheetData>
    <row r="1" spans="1:6" x14ac:dyDescent="0.25">
      <c r="B1" s="5" t="s">
        <v>207</v>
      </c>
      <c r="C1" s="5" t="s">
        <v>208</v>
      </c>
    </row>
    <row r="2" spans="1:6" x14ac:dyDescent="0.25">
      <c r="B2" s="5" t="s">
        <v>209</v>
      </c>
      <c r="C2" s="5" t="s">
        <v>210</v>
      </c>
    </row>
    <row r="3" spans="1:6" x14ac:dyDescent="0.25">
      <c r="A3" s="8">
        <v>46301</v>
      </c>
      <c r="B3" s="5" t="s">
        <v>211</v>
      </c>
      <c r="C3" s="5" t="s">
        <v>996</v>
      </c>
    </row>
    <row r="4" spans="1:6" x14ac:dyDescent="0.25">
      <c r="B4" s="5" t="s">
        <v>212</v>
      </c>
    </row>
    <row r="5" spans="1:6" x14ac:dyDescent="0.25">
      <c r="A5" s="5" t="s">
        <v>11</v>
      </c>
      <c r="B5" s="5" t="s">
        <v>213</v>
      </c>
      <c r="C5" s="5" t="s">
        <v>214</v>
      </c>
      <c r="D5" s="5" t="s">
        <v>215</v>
      </c>
      <c r="E5" s="5" t="s">
        <v>216</v>
      </c>
      <c r="F5" s="5" t="s">
        <v>217</v>
      </c>
    </row>
    <row r="6" spans="1:6" ht="63" x14ac:dyDescent="0.25">
      <c r="A6" s="5" t="s">
        <v>218</v>
      </c>
      <c r="B6" s="5">
        <v>146</v>
      </c>
      <c r="C6" s="5" t="s">
        <v>219</v>
      </c>
      <c r="D6" s="5" t="s">
        <v>979</v>
      </c>
      <c r="E6" s="5" t="s">
        <v>980</v>
      </c>
      <c r="F6" s="5">
        <v>1</v>
      </c>
    </row>
    <row r="7" spans="1:6" x14ac:dyDescent="0.25">
      <c r="A7" s="5" t="s">
        <v>220</v>
      </c>
      <c r="B7" s="5">
        <v>59</v>
      </c>
      <c r="C7" s="5" t="s">
        <v>221</v>
      </c>
      <c r="D7" s="5" t="s">
        <v>222</v>
      </c>
      <c r="E7" s="5" t="s">
        <v>223</v>
      </c>
      <c r="F7" s="5">
        <v>1</v>
      </c>
    </row>
    <row r="8" spans="1:6" x14ac:dyDescent="0.25">
      <c r="A8" s="5" t="s">
        <v>224</v>
      </c>
      <c r="B8" s="5">
        <v>240</v>
      </c>
      <c r="C8" s="5" t="s">
        <v>225</v>
      </c>
      <c r="D8" s="5" t="s">
        <v>226</v>
      </c>
      <c r="E8" s="5" t="s">
        <v>952</v>
      </c>
      <c r="F8" s="5">
        <v>1</v>
      </c>
    </row>
    <row r="9" spans="1:6" ht="31.5" x14ac:dyDescent="0.25">
      <c r="A9" s="5" t="s">
        <v>227</v>
      </c>
      <c r="B9" s="5">
        <v>157</v>
      </c>
      <c r="C9" s="5" t="s">
        <v>228</v>
      </c>
      <c r="D9" s="5" t="s">
        <v>229</v>
      </c>
      <c r="F9" s="5">
        <v>1</v>
      </c>
    </row>
    <row r="10" spans="1:6" ht="31.5" x14ac:dyDescent="0.25">
      <c r="A10" s="5" t="s">
        <v>230</v>
      </c>
      <c r="B10" s="5">
        <v>116</v>
      </c>
      <c r="C10" s="5" t="s">
        <v>231</v>
      </c>
      <c r="D10" s="5" t="s">
        <v>232</v>
      </c>
      <c r="E10" s="5" t="s">
        <v>233</v>
      </c>
      <c r="F10" s="5">
        <v>1</v>
      </c>
    </row>
    <row r="11" spans="1:6" ht="31.5" x14ac:dyDescent="0.25">
      <c r="A11" s="5" t="s">
        <v>234</v>
      </c>
      <c r="C11" s="5" t="s">
        <v>235</v>
      </c>
      <c r="D11" s="5" t="s">
        <v>236</v>
      </c>
      <c r="E11" s="5" t="s">
        <v>237</v>
      </c>
      <c r="F11" s="5">
        <v>1</v>
      </c>
    </row>
    <row r="14" spans="1:6" x14ac:dyDescent="0.25">
      <c r="B14" s="5" t="s">
        <v>238</v>
      </c>
    </row>
    <row r="15" spans="1:6" x14ac:dyDescent="0.25">
      <c r="B15" s="5" t="s">
        <v>213</v>
      </c>
      <c r="C15" s="5" t="s">
        <v>214</v>
      </c>
      <c r="D15" s="5" t="s">
        <v>215</v>
      </c>
      <c r="E15" s="5" t="s">
        <v>216</v>
      </c>
    </row>
    <row r="16" spans="1:6" ht="31.5" x14ac:dyDescent="0.25">
      <c r="B16" s="5">
        <v>57</v>
      </c>
      <c r="C16" s="5" t="s">
        <v>239</v>
      </c>
      <c r="D16" s="5" t="s">
        <v>240</v>
      </c>
    </row>
    <row r="17" spans="2:5" ht="43.9" customHeight="1" x14ac:dyDescent="0.25">
      <c r="B17" s="5">
        <v>77</v>
      </c>
      <c r="C17" s="5" t="s">
        <v>241</v>
      </c>
      <c r="D17" s="5" t="s">
        <v>242</v>
      </c>
      <c r="E17" s="5" t="s">
        <v>243</v>
      </c>
    </row>
  </sheetData>
  <pageMargins left="0.7" right="0.7" top="0.75" bottom="0.75" header="0.3" footer="0.3"/>
  <ignoredErrors>
    <ignoredError sqref="A1:F2 A9:F17 A8:D8 F8 A7:F7 A6:C6 F6 A4:F5 A3:B3 D3:F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workbookViewId="0">
      <selection activeCell="C3" sqref="C3"/>
    </sheetView>
  </sheetViews>
  <sheetFormatPr defaultColWidth="8.75" defaultRowHeight="15.75" x14ac:dyDescent="0.25"/>
  <cols>
    <col min="1" max="1" width="17.75" style="5" customWidth="1"/>
    <col min="2" max="2" width="18.375" style="5" customWidth="1"/>
    <col min="3" max="3" width="68.375" style="5" customWidth="1"/>
    <col min="4" max="4" width="17" style="5" customWidth="1"/>
    <col min="5" max="5" width="52.625" style="5" customWidth="1"/>
    <col min="6" max="6" width="8.625" style="5" customWidth="1"/>
    <col min="7" max="16384" width="8.75" style="5"/>
  </cols>
  <sheetData>
    <row r="1" spans="1:6" x14ac:dyDescent="0.25">
      <c r="B1" s="5" t="s">
        <v>207</v>
      </c>
      <c r="C1" s="5" t="s">
        <v>244</v>
      </c>
    </row>
    <row r="2" spans="1:6" x14ac:dyDescent="0.25">
      <c r="B2" s="5" t="s">
        <v>209</v>
      </c>
      <c r="C2" s="5" t="s">
        <v>245</v>
      </c>
    </row>
    <row r="3" spans="1:6" x14ac:dyDescent="0.25">
      <c r="A3" s="8">
        <v>46300</v>
      </c>
      <c r="B3" s="5" t="s">
        <v>211</v>
      </c>
      <c r="C3" s="5" t="s">
        <v>995</v>
      </c>
    </row>
    <row r="4" spans="1:6" x14ac:dyDescent="0.25">
      <c r="B4" s="5" t="s">
        <v>212</v>
      </c>
    </row>
    <row r="5" spans="1:6" x14ac:dyDescent="0.25">
      <c r="A5" s="5" t="s">
        <v>11</v>
      </c>
      <c r="B5" s="5" t="s">
        <v>213</v>
      </c>
      <c r="C5" s="5" t="s">
        <v>214</v>
      </c>
      <c r="D5" s="5" t="s">
        <v>215</v>
      </c>
      <c r="E5" s="5" t="s">
        <v>216</v>
      </c>
      <c r="F5" s="5" t="s">
        <v>217</v>
      </c>
    </row>
    <row r="6" spans="1:6" ht="28.9" customHeight="1" x14ac:dyDescent="0.25">
      <c r="A6" s="9" t="s">
        <v>246</v>
      </c>
      <c r="B6" s="5">
        <v>120</v>
      </c>
      <c r="C6" s="5" t="s">
        <v>247</v>
      </c>
      <c r="D6" s="5" t="s">
        <v>248</v>
      </c>
      <c r="E6" s="5" t="s">
        <v>249</v>
      </c>
      <c r="F6" s="5">
        <v>1</v>
      </c>
    </row>
    <row r="7" spans="1:6" ht="28.9" customHeight="1" x14ac:dyDescent="0.25">
      <c r="A7" s="5" t="s">
        <v>250</v>
      </c>
      <c r="B7" s="5">
        <v>126</v>
      </c>
      <c r="C7" s="5" t="s">
        <v>251</v>
      </c>
      <c r="D7" s="5" t="s">
        <v>252</v>
      </c>
      <c r="E7" s="5" t="s">
        <v>253</v>
      </c>
      <c r="F7" s="5">
        <v>1</v>
      </c>
    </row>
    <row r="8" spans="1:6" ht="28.9" customHeight="1" x14ac:dyDescent="0.25">
      <c r="A8" s="5" t="s">
        <v>254</v>
      </c>
      <c r="B8" s="5">
        <v>258</v>
      </c>
      <c r="C8" s="5" t="s">
        <v>255</v>
      </c>
      <c r="D8" s="5" t="s">
        <v>223</v>
      </c>
      <c r="E8" s="5" t="s">
        <v>640</v>
      </c>
      <c r="F8" s="5">
        <v>1</v>
      </c>
    </row>
    <row r="9" spans="1:6" x14ac:dyDescent="0.25">
      <c r="A9" s="5" t="s">
        <v>256</v>
      </c>
      <c r="B9" s="5">
        <v>151</v>
      </c>
      <c r="C9" s="5" t="s">
        <v>257</v>
      </c>
      <c r="D9" s="5" t="s">
        <v>258</v>
      </c>
      <c r="F9" s="5">
        <v>1</v>
      </c>
    </row>
    <row r="10" spans="1:6" ht="28.9" customHeight="1" x14ac:dyDescent="0.25">
      <c r="A10" s="5" t="s">
        <v>259</v>
      </c>
      <c r="B10" s="5">
        <v>153</v>
      </c>
      <c r="C10" s="5" t="s">
        <v>260</v>
      </c>
      <c r="D10" s="5" t="s">
        <v>261</v>
      </c>
      <c r="E10" s="5" t="s">
        <v>262</v>
      </c>
      <c r="F10" s="5">
        <v>1</v>
      </c>
    </row>
  </sheetData>
  <pageMargins left="0.7" right="0.7" top="0.75" bottom="0.75" header="0.3" footer="0.3"/>
  <ignoredErrors>
    <ignoredError sqref="A1:F2 A11:F13 B6:E6 A7:E7 A8:D8 A9:E9 A10:E10 A4:F5 A3:B3 D3:F3"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8"/>
  <sheetViews>
    <sheetView workbookViewId="0">
      <selection activeCell="C20" sqref="C20"/>
    </sheetView>
  </sheetViews>
  <sheetFormatPr defaultColWidth="8.75" defaultRowHeight="15.75" x14ac:dyDescent="0.25"/>
  <cols>
    <col min="1" max="1" width="12.25" style="5" customWidth="1"/>
    <col min="2" max="2" width="13.5" style="5" bestFit="1" customWidth="1"/>
    <col min="3" max="3" width="61.625" style="5" customWidth="1"/>
    <col min="4" max="4" width="26.375" style="5" customWidth="1"/>
    <col min="5" max="5" width="65.75" style="5" customWidth="1"/>
    <col min="6" max="6" width="8.625" style="5" customWidth="1"/>
    <col min="7" max="16384" width="8.75" style="5"/>
  </cols>
  <sheetData>
    <row r="1" spans="1:6" x14ac:dyDescent="0.25">
      <c r="B1" s="5" t="s">
        <v>207</v>
      </c>
      <c r="C1" s="5" t="s">
        <v>263</v>
      </c>
    </row>
    <row r="2" spans="1:6" x14ac:dyDescent="0.25">
      <c r="B2" s="5" t="s">
        <v>209</v>
      </c>
      <c r="C2" s="5" t="s">
        <v>264</v>
      </c>
    </row>
    <row r="3" spans="1:6" x14ac:dyDescent="0.25">
      <c r="A3" s="8">
        <v>46303</v>
      </c>
      <c r="B3" s="5" t="s">
        <v>211</v>
      </c>
      <c r="C3" s="5" t="s">
        <v>125</v>
      </c>
    </row>
    <row r="5" spans="1:6" x14ac:dyDescent="0.25">
      <c r="B5" s="5" t="s">
        <v>212</v>
      </c>
    </row>
    <row r="6" spans="1:6" x14ac:dyDescent="0.25">
      <c r="A6" s="5" t="s">
        <v>11</v>
      </c>
      <c r="B6" s="5" t="s">
        <v>213</v>
      </c>
      <c r="C6" s="5" t="s">
        <v>214</v>
      </c>
      <c r="D6" s="5" t="s">
        <v>215</v>
      </c>
      <c r="E6" s="5" t="s">
        <v>216</v>
      </c>
      <c r="F6" s="5" t="s">
        <v>217</v>
      </c>
    </row>
    <row r="7" spans="1:6" ht="31.5" x14ac:dyDescent="0.25">
      <c r="A7" s="5" t="s">
        <v>265</v>
      </c>
      <c r="B7" s="5">
        <v>87</v>
      </c>
      <c r="C7" s="5" t="s">
        <v>266</v>
      </c>
      <c r="D7" s="5" t="s">
        <v>267</v>
      </c>
      <c r="E7" s="5" t="s">
        <v>961</v>
      </c>
      <c r="F7" s="5">
        <v>1</v>
      </c>
    </row>
    <row r="8" spans="1:6" ht="31.5" x14ac:dyDescent="0.25">
      <c r="A8" s="5" t="s">
        <v>268</v>
      </c>
      <c r="B8" s="5">
        <v>1065</v>
      </c>
      <c r="C8" s="5" t="s">
        <v>269</v>
      </c>
      <c r="D8" s="5" t="s">
        <v>270</v>
      </c>
      <c r="E8" s="5" t="s">
        <v>960</v>
      </c>
      <c r="F8" s="5">
        <v>1</v>
      </c>
    </row>
    <row r="9" spans="1:6" ht="47.25" x14ac:dyDescent="0.25">
      <c r="A9" s="9" t="s">
        <v>271</v>
      </c>
      <c r="B9" s="5">
        <v>117</v>
      </c>
      <c r="C9" s="5" t="s">
        <v>272</v>
      </c>
      <c r="D9" s="5" t="s">
        <v>273</v>
      </c>
      <c r="E9" s="5" t="s">
        <v>274</v>
      </c>
      <c r="F9" s="5">
        <v>1</v>
      </c>
    </row>
    <row r="10" spans="1:6" ht="47.25" x14ac:dyDescent="0.25">
      <c r="A10" s="5" t="s">
        <v>275</v>
      </c>
      <c r="B10" s="5">
        <v>192</v>
      </c>
      <c r="C10" s="5" t="s">
        <v>276</v>
      </c>
      <c r="D10" s="5" t="s">
        <v>277</v>
      </c>
      <c r="E10" s="5" t="s">
        <v>278</v>
      </c>
      <c r="F10" s="5">
        <v>1</v>
      </c>
    </row>
    <row r="11" spans="1:6" ht="47.25" x14ac:dyDescent="0.25">
      <c r="A11" s="5" t="s">
        <v>279</v>
      </c>
      <c r="B11" s="5">
        <v>198</v>
      </c>
      <c r="C11" s="5" t="s">
        <v>280</v>
      </c>
      <c r="D11" s="5" t="s">
        <v>281</v>
      </c>
      <c r="E11" s="5" t="s">
        <v>962</v>
      </c>
      <c r="F11" s="5">
        <v>1</v>
      </c>
    </row>
    <row r="12" spans="1:6" ht="31.5" x14ac:dyDescent="0.25">
      <c r="A12" s="5" t="s">
        <v>282</v>
      </c>
      <c r="B12" s="5">
        <v>208</v>
      </c>
      <c r="C12" s="5" t="s">
        <v>283</v>
      </c>
      <c r="D12" s="5" t="s">
        <v>284</v>
      </c>
      <c r="E12" s="5" t="s">
        <v>285</v>
      </c>
      <c r="F12" s="5">
        <v>1</v>
      </c>
    </row>
    <row r="13" spans="1:6" x14ac:dyDescent="0.25">
      <c r="A13" s="5" t="s">
        <v>286</v>
      </c>
      <c r="B13" s="5">
        <v>250</v>
      </c>
      <c r="C13" s="5" t="s">
        <v>287</v>
      </c>
      <c r="D13" s="5" t="s">
        <v>288</v>
      </c>
      <c r="E13" s="5" t="s">
        <v>289</v>
      </c>
      <c r="F13" s="5">
        <v>1</v>
      </c>
    </row>
    <row r="14" spans="1:6" ht="31.5" x14ac:dyDescent="0.25">
      <c r="A14" s="5" t="s">
        <v>290</v>
      </c>
      <c r="B14" s="5">
        <v>264</v>
      </c>
      <c r="C14" s="5" t="s">
        <v>291</v>
      </c>
      <c r="D14" s="5" t="s">
        <v>292</v>
      </c>
      <c r="E14" s="5" t="s">
        <v>293</v>
      </c>
      <c r="F14" s="5">
        <v>1</v>
      </c>
    </row>
    <row r="16" spans="1:6" x14ac:dyDescent="0.25">
      <c r="B16" s="5" t="s">
        <v>238</v>
      </c>
    </row>
    <row r="17" spans="1:6" x14ac:dyDescent="0.25">
      <c r="A17" s="5" t="s">
        <v>11</v>
      </c>
      <c r="B17" s="5" t="s">
        <v>213</v>
      </c>
      <c r="F17" s="5">
        <v>2</v>
      </c>
    </row>
    <row r="18" spans="1:6" ht="47.25" x14ac:dyDescent="0.25">
      <c r="B18" s="5">
        <v>191</v>
      </c>
      <c r="C18" s="5" t="s">
        <v>294</v>
      </c>
      <c r="D18" s="5" t="s">
        <v>295</v>
      </c>
      <c r="E18" s="5" t="s">
        <v>963</v>
      </c>
      <c r="F18" s="5">
        <v>2</v>
      </c>
    </row>
  </sheetData>
  <pageMargins left="0.7" right="0.7" top="0.75" bottom="0.75" header="0.3" footer="0.3"/>
  <ignoredErrors>
    <ignoredError sqref="A1:F6 A9:F10 A8:D8 F8 A7:D7 F7 A12:F15 A11:D11 F11 A18:D18 F18 A17 C17:F17 A16 C16:F16"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9"/>
  <sheetViews>
    <sheetView topLeftCell="C1" workbookViewId="0">
      <selection activeCell="C3" sqref="C3"/>
    </sheetView>
  </sheetViews>
  <sheetFormatPr defaultRowHeight="15.75" x14ac:dyDescent="0.25"/>
  <cols>
    <col min="1" max="1" width="12.75" customWidth="1"/>
    <col min="2" max="2" width="22" customWidth="1"/>
    <col min="3" max="3" width="169.75" customWidth="1"/>
    <col min="4" max="4" width="22" customWidth="1"/>
    <col min="5" max="5" width="55.75" customWidth="1"/>
    <col min="6" max="6" width="8.625" customWidth="1"/>
    <col min="10" max="10" width="20.25" customWidth="1"/>
    <col min="11" max="11" width="15.75" customWidth="1"/>
  </cols>
  <sheetData>
    <row r="1" spans="1:5" x14ac:dyDescent="0.25">
      <c r="B1" t="s">
        <v>207</v>
      </c>
      <c r="C1" t="s">
        <v>296</v>
      </c>
    </row>
    <row r="2" spans="1:5" x14ac:dyDescent="0.25">
      <c r="B2" t="s">
        <v>209</v>
      </c>
      <c r="C2" t="s">
        <v>297</v>
      </c>
    </row>
    <row r="3" spans="1:5" x14ac:dyDescent="0.25">
      <c r="A3" s="1" t="s">
        <v>298</v>
      </c>
      <c r="B3" t="s">
        <v>211</v>
      </c>
      <c r="C3" t="s">
        <v>997</v>
      </c>
    </row>
    <row r="5" spans="1:5" x14ac:dyDescent="0.25">
      <c r="B5" t="s">
        <v>238</v>
      </c>
    </row>
    <row r="6" spans="1:5" x14ac:dyDescent="0.25">
      <c r="B6">
        <v>81</v>
      </c>
      <c r="C6" t="s">
        <v>319</v>
      </c>
      <c r="D6" t="s">
        <v>320</v>
      </c>
      <c r="E6" t="s">
        <v>321</v>
      </c>
    </row>
    <row r="7" spans="1:5" x14ac:dyDescent="0.25">
      <c r="B7">
        <v>89</v>
      </c>
      <c r="C7" t="s">
        <v>322</v>
      </c>
      <c r="D7" t="s">
        <v>304</v>
      </c>
      <c r="E7" t="s">
        <v>323</v>
      </c>
    </row>
    <row r="8" spans="1:5" x14ac:dyDescent="0.25">
      <c r="B8">
        <v>108</v>
      </c>
      <c r="C8" t="s">
        <v>324</v>
      </c>
      <c r="D8" t="s">
        <v>325</v>
      </c>
    </row>
    <row r="9" spans="1:5" x14ac:dyDescent="0.25">
      <c r="B9">
        <v>140</v>
      </c>
      <c r="C9" t="s">
        <v>326</v>
      </c>
      <c r="D9" t="s">
        <v>327</v>
      </c>
      <c r="E9" t="s">
        <v>328</v>
      </c>
    </row>
  </sheetData>
  <pageMargins left="0.7" right="0.7" top="0.75" bottom="0.75" header="0.3" footer="0.3"/>
  <ignoredErrors>
    <ignoredError sqref="A1:K2 A4:K15 A3:B3 D3:K3"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8"/>
  <sheetViews>
    <sheetView workbookViewId="0">
      <selection activeCell="C1" sqref="C1"/>
    </sheetView>
  </sheetViews>
  <sheetFormatPr defaultRowHeight="15.75" x14ac:dyDescent="0.25"/>
  <cols>
    <col min="1" max="1" width="12.75" customWidth="1"/>
    <col min="2" max="2" width="18" customWidth="1"/>
    <col min="3" max="3" width="70" customWidth="1"/>
    <col min="4" max="4" width="36.75" customWidth="1"/>
    <col min="5" max="5" width="29" customWidth="1"/>
    <col min="6" max="6" width="8.625" customWidth="1"/>
  </cols>
  <sheetData>
    <row r="1" spans="1:6" x14ac:dyDescent="0.25">
      <c r="B1" t="s">
        <v>207</v>
      </c>
      <c r="C1" t="s">
        <v>989</v>
      </c>
    </row>
    <row r="2" spans="1:6" x14ac:dyDescent="0.25">
      <c r="B2" t="s">
        <v>209</v>
      </c>
      <c r="C2" t="s">
        <v>297</v>
      </c>
    </row>
    <row r="3" spans="1:6" x14ac:dyDescent="0.25">
      <c r="A3" s="2">
        <v>46300</v>
      </c>
      <c r="B3" t="s">
        <v>211</v>
      </c>
      <c r="C3" t="s">
        <v>125</v>
      </c>
    </row>
    <row r="4" spans="1:6" x14ac:dyDescent="0.25">
      <c r="B4" t="s">
        <v>212</v>
      </c>
    </row>
    <row r="5" spans="1:6" x14ac:dyDescent="0.25">
      <c r="A5" t="s">
        <v>11</v>
      </c>
      <c r="B5" t="s">
        <v>213</v>
      </c>
      <c r="C5" t="s">
        <v>214</v>
      </c>
      <c r="D5" t="s">
        <v>215</v>
      </c>
      <c r="E5" t="s">
        <v>216</v>
      </c>
      <c r="F5" t="s">
        <v>217</v>
      </c>
    </row>
    <row r="6" spans="1:6" ht="24" customHeight="1" x14ac:dyDescent="0.25">
      <c r="A6" t="s">
        <v>230</v>
      </c>
      <c r="B6">
        <v>193</v>
      </c>
      <c r="C6" t="s">
        <v>335</v>
      </c>
      <c r="D6" t="s">
        <v>314</v>
      </c>
      <c r="F6">
        <v>1</v>
      </c>
    </row>
    <row r="7" spans="1:6" ht="27" customHeight="1" x14ac:dyDescent="0.25">
      <c r="A7" t="s">
        <v>234</v>
      </c>
      <c r="B7">
        <v>239</v>
      </c>
      <c r="C7" t="s">
        <v>316</v>
      </c>
      <c r="D7" t="s">
        <v>317</v>
      </c>
      <c r="E7" t="s">
        <v>318</v>
      </c>
      <c r="F7">
        <v>1</v>
      </c>
    </row>
    <row r="8" spans="1:6" ht="34.15" customHeight="1" x14ac:dyDescent="0.25">
      <c r="A8" t="s">
        <v>336</v>
      </c>
      <c r="B8">
        <v>204</v>
      </c>
      <c r="C8" t="s">
        <v>337</v>
      </c>
      <c r="D8" t="s">
        <v>103</v>
      </c>
      <c r="E8" t="s">
        <v>315</v>
      </c>
      <c r="F8">
        <v>1</v>
      </c>
    </row>
  </sheetData>
  <pageMargins left="0.7" right="0.7" top="0.75" bottom="0.75" header="0.3" footer="0.3"/>
  <ignoredErrors>
    <ignoredError sqref="A2:F8 A1:B1 D1:F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3"/>
  <sheetViews>
    <sheetView workbookViewId="0">
      <selection activeCell="C3" sqref="C3"/>
    </sheetView>
  </sheetViews>
  <sheetFormatPr defaultColWidth="8.75" defaultRowHeight="15.75" x14ac:dyDescent="0.25"/>
  <cols>
    <col min="1" max="1" width="14.25" style="5" customWidth="1"/>
    <col min="2" max="2" width="14.75" style="5" customWidth="1"/>
    <col min="3" max="3" width="83.125" style="5" customWidth="1"/>
    <col min="4" max="4" width="21.375" style="5" customWidth="1"/>
    <col min="5" max="5" width="38.75" style="5" customWidth="1"/>
    <col min="6" max="6" width="8.625" style="5" customWidth="1"/>
    <col min="7" max="16384" width="8.75" style="5"/>
  </cols>
  <sheetData>
    <row r="1" spans="1:6" x14ac:dyDescent="0.25">
      <c r="B1" s="5" t="s">
        <v>207</v>
      </c>
      <c r="C1" s="5" t="s">
        <v>989</v>
      </c>
    </row>
    <row r="2" spans="1:6" x14ac:dyDescent="0.25">
      <c r="B2" s="5" t="s">
        <v>209</v>
      </c>
      <c r="C2" s="5" t="s">
        <v>297</v>
      </c>
    </row>
    <row r="3" spans="1:6" x14ac:dyDescent="0.25">
      <c r="A3" s="8">
        <v>46301</v>
      </c>
      <c r="B3" s="5" t="s">
        <v>211</v>
      </c>
      <c r="C3" s="5" t="s">
        <v>995</v>
      </c>
    </row>
    <row r="4" spans="1:6" x14ac:dyDescent="0.25">
      <c r="B4" s="5" t="s">
        <v>212</v>
      </c>
    </row>
    <row r="5" spans="1:6" x14ac:dyDescent="0.25">
      <c r="A5" s="5" t="s">
        <v>11</v>
      </c>
      <c r="B5" s="5" t="s">
        <v>213</v>
      </c>
      <c r="C5" s="5" t="s">
        <v>214</v>
      </c>
      <c r="D5" s="5" t="s">
        <v>215</v>
      </c>
      <c r="E5" s="5" t="s">
        <v>216</v>
      </c>
      <c r="F5" s="5" t="s">
        <v>217</v>
      </c>
    </row>
    <row r="6" spans="1:6" x14ac:dyDescent="0.25">
      <c r="A6" s="5" t="s">
        <v>265</v>
      </c>
      <c r="B6" s="5">
        <v>35</v>
      </c>
      <c r="C6" s="5" t="s">
        <v>338</v>
      </c>
      <c r="D6" s="5" t="s">
        <v>300</v>
      </c>
      <c r="E6" s="5" t="s">
        <v>301</v>
      </c>
      <c r="F6" s="5">
        <v>1</v>
      </c>
    </row>
    <row r="7" spans="1:6" ht="31.5" x14ac:dyDescent="0.25">
      <c r="A7" s="5" t="s">
        <v>268</v>
      </c>
      <c r="B7" s="5">
        <v>84</v>
      </c>
      <c r="C7" s="5" t="s">
        <v>302</v>
      </c>
      <c r="D7" s="5" t="s">
        <v>288</v>
      </c>
      <c r="E7" s="5" t="s">
        <v>951</v>
      </c>
      <c r="F7" s="5">
        <v>1</v>
      </c>
    </row>
    <row r="8" spans="1:6" ht="31.5" x14ac:dyDescent="0.25">
      <c r="A8" s="5" t="s">
        <v>271</v>
      </c>
      <c r="B8" s="5">
        <v>131</v>
      </c>
      <c r="C8" s="5" t="s">
        <v>339</v>
      </c>
      <c r="D8" s="5" t="s">
        <v>308</v>
      </c>
      <c r="E8" s="5" t="s">
        <v>309</v>
      </c>
      <c r="F8" s="5">
        <v>1</v>
      </c>
    </row>
    <row r="9" spans="1:6" ht="63" x14ac:dyDescent="0.25">
      <c r="A9" s="5" t="s">
        <v>275</v>
      </c>
      <c r="B9" s="5">
        <v>88</v>
      </c>
      <c r="C9" s="5" t="s">
        <v>303</v>
      </c>
      <c r="D9" s="5" t="s">
        <v>340</v>
      </c>
      <c r="E9" s="5" t="s">
        <v>305</v>
      </c>
      <c r="F9" s="5">
        <v>1</v>
      </c>
    </row>
    <row r="10" spans="1:6" ht="47.25" x14ac:dyDescent="0.25">
      <c r="A10" s="5" t="s">
        <v>279</v>
      </c>
      <c r="B10" s="5">
        <v>94</v>
      </c>
      <c r="C10" s="5" t="s">
        <v>341</v>
      </c>
      <c r="D10" s="5" t="s">
        <v>306</v>
      </c>
      <c r="E10" s="5" t="s">
        <v>307</v>
      </c>
      <c r="F10" s="5">
        <v>1</v>
      </c>
    </row>
    <row r="11" spans="1:6" ht="31.5" x14ac:dyDescent="0.25">
      <c r="A11" s="5" t="s">
        <v>282</v>
      </c>
      <c r="B11" s="5">
        <v>249</v>
      </c>
      <c r="C11" s="5" t="s">
        <v>312</v>
      </c>
      <c r="D11" s="5" t="s">
        <v>288</v>
      </c>
      <c r="E11" s="5" t="s">
        <v>313</v>
      </c>
      <c r="F11" s="5">
        <v>1</v>
      </c>
    </row>
    <row r="12" spans="1:6" ht="31.5" x14ac:dyDescent="0.25">
      <c r="A12" s="5" t="s">
        <v>286</v>
      </c>
      <c r="B12" s="5">
        <v>233</v>
      </c>
      <c r="C12" s="5" t="s">
        <v>310</v>
      </c>
      <c r="D12" s="5" t="s">
        <v>311</v>
      </c>
      <c r="E12" s="5" t="s">
        <v>288</v>
      </c>
      <c r="F12" s="5">
        <v>1</v>
      </c>
    </row>
    <row r="13" spans="1:6" ht="31.5" x14ac:dyDescent="0.25">
      <c r="A13" s="5" t="s">
        <v>290</v>
      </c>
      <c r="B13" s="5">
        <v>34</v>
      </c>
      <c r="C13" s="5" t="s">
        <v>342</v>
      </c>
      <c r="D13" s="5" t="s">
        <v>299</v>
      </c>
      <c r="F13" s="5">
        <v>1</v>
      </c>
    </row>
  </sheetData>
  <pageMargins left="0.7" right="0.7" top="0.75" bottom="0.75" header="0.3" footer="0.3"/>
  <ignoredErrors>
    <ignoredError sqref="A2:F2 A13:E13 A9:E9 A10:E10 A11:E11 A12:E12 A8:F8 B7:C7 F7 A1:B1 D1:F1 A4:F6 A3:B3 D3:F3"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6"/>
  <sheetViews>
    <sheetView workbookViewId="0">
      <selection activeCell="C3" sqref="C3"/>
    </sheetView>
  </sheetViews>
  <sheetFormatPr defaultRowHeight="15.75" x14ac:dyDescent="0.25"/>
  <cols>
    <col min="1" max="1" width="12.625" customWidth="1"/>
    <col min="2" max="2" width="16.375" customWidth="1"/>
    <col min="3" max="3" width="40.75" customWidth="1"/>
    <col min="4" max="4" width="131.625" customWidth="1"/>
    <col min="5" max="5" width="27" customWidth="1"/>
    <col min="6" max="6" width="173.375" customWidth="1"/>
    <col min="7" max="7" width="8.625" customWidth="1"/>
  </cols>
  <sheetData>
    <row r="1" spans="1:7" x14ac:dyDescent="0.25">
      <c r="B1" t="s">
        <v>207</v>
      </c>
      <c r="C1" t="s">
        <v>343</v>
      </c>
    </row>
    <row r="2" spans="1:7" x14ac:dyDescent="0.25">
      <c r="B2" t="s">
        <v>209</v>
      </c>
      <c r="C2" t="s">
        <v>344</v>
      </c>
    </row>
    <row r="3" spans="1:7" x14ac:dyDescent="0.25">
      <c r="A3" s="2">
        <v>46303</v>
      </c>
      <c r="B3" t="s">
        <v>211</v>
      </c>
      <c r="C3" t="s">
        <v>995</v>
      </c>
    </row>
    <row r="5" spans="1:7" x14ac:dyDescent="0.25">
      <c r="B5" t="s">
        <v>212</v>
      </c>
    </row>
    <row r="6" spans="1:7" x14ac:dyDescent="0.25">
      <c r="A6" t="s">
        <v>11</v>
      </c>
      <c r="B6" t="s">
        <v>213</v>
      </c>
      <c r="C6" t="s">
        <v>345</v>
      </c>
      <c r="D6" t="s">
        <v>346</v>
      </c>
      <c r="E6" t="s">
        <v>347</v>
      </c>
      <c r="F6" t="s">
        <v>348</v>
      </c>
      <c r="G6" t="s">
        <v>217</v>
      </c>
    </row>
    <row r="7" spans="1:7" x14ac:dyDescent="0.25">
      <c r="A7" s="3" t="s">
        <v>349</v>
      </c>
      <c r="B7">
        <v>241</v>
      </c>
      <c r="C7">
        <v>226</v>
      </c>
      <c r="D7" t="s">
        <v>350</v>
      </c>
      <c r="E7" t="s">
        <v>351</v>
      </c>
      <c r="F7" t="s">
        <v>352</v>
      </c>
      <c r="G7">
        <v>1</v>
      </c>
    </row>
    <row r="8" spans="1:7" x14ac:dyDescent="0.25">
      <c r="A8" s="3" t="s">
        <v>353</v>
      </c>
      <c r="B8" s="7">
        <v>141</v>
      </c>
      <c r="C8" s="7">
        <v>152</v>
      </c>
      <c r="D8" s="7" t="s">
        <v>946</v>
      </c>
      <c r="E8" s="7" t="s">
        <v>947</v>
      </c>
      <c r="F8" s="7" t="s">
        <v>948</v>
      </c>
      <c r="G8">
        <v>1</v>
      </c>
    </row>
    <row r="9" spans="1:7" x14ac:dyDescent="0.25">
      <c r="A9" s="3" t="s">
        <v>271</v>
      </c>
      <c r="B9">
        <v>235</v>
      </c>
      <c r="C9">
        <v>221</v>
      </c>
      <c r="D9" t="s">
        <v>354</v>
      </c>
      <c r="E9" t="s">
        <v>355</v>
      </c>
      <c r="G9">
        <v>1</v>
      </c>
    </row>
    <row r="10" spans="1:7" x14ac:dyDescent="0.25">
      <c r="A10" s="3" t="s">
        <v>275</v>
      </c>
      <c r="B10">
        <v>227</v>
      </c>
      <c r="C10">
        <v>218</v>
      </c>
      <c r="D10" t="s">
        <v>356</v>
      </c>
      <c r="E10" t="s">
        <v>357</v>
      </c>
      <c r="F10" t="s">
        <v>358</v>
      </c>
      <c r="G10">
        <v>1</v>
      </c>
    </row>
    <row r="11" spans="1:7" x14ac:dyDescent="0.25">
      <c r="A11" s="3" t="s">
        <v>279</v>
      </c>
      <c r="B11">
        <v>243</v>
      </c>
      <c r="C11">
        <v>229</v>
      </c>
      <c r="D11" t="s">
        <v>359</v>
      </c>
      <c r="E11" t="s">
        <v>360</v>
      </c>
      <c r="F11" t="s">
        <v>361</v>
      </c>
      <c r="G11">
        <v>1</v>
      </c>
    </row>
    <row r="12" spans="1:7" x14ac:dyDescent="0.25">
      <c r="A12" s="3" t="s">
        <v>282</v>
      </c>
      <c r="B12">
        <v>106</v>
      </c>
      <c r="C12">
        <v>93</v>
      </c>
      <c r="D12" t="s">
        <v>362</v>
      </c>
      <c r="E12" t="s">
        <v>363</v>
      </c>
      <c r="F12" t="s">
        <v>364</v>
      </c>
      <c r="G12">
        <v>1</v>
      </c>
    </row>
    <row r="13" spans="1:7" x14ac:dyDescent="0.25">
      <c r="A13" s="3" t="s">
        <v>286</v>
      </c>
      <c r="B13">
        <v>105</v>
      </c>
      <c r="C13">
        <v>121</v>
      </c>
      <c r="D13" t="s">
        <v>365</v>
      </c>
      <c r="E13" t="s">
        <v>366</v>
      </c>
      <c r="F13" t="s">
        <v>367</v>
      </c>
      <c r="G13">
        <v>1</v>
      </c>
    </row>
    <row r="14" spans="1:7" x14ac:dyDescent="0.25">
      <c r="A14" s="3" t="s">
        <v>290</v>
      </c>
      <c r="B14">
        <v>272</v>
      </c>
      <c r="C14">
        <v>202</v>
      </c>
      <c r="D14" t="s">
        <v>368</v>
      </c>
      <c r="E14" t="s">
        <v>369</v>
      </c>
      <c r="F14" t="s">
        <v>370</v>
      </c>
      <c r="G14">
        <v>1</v>
      </c>
    </row>
    <row r="15" spans="1:7" x14ac:dyDescent="0.25">
      <c r="A15" s="3" t="s">
        <v>371</v>
      </c>
      <c r="B15">
        <v>55</v>
      </c>
      <c r="C15">
        <v>62</v>
      </c>
      <c r="D15" t="s">
        <v>372</v>
      </c>
      <c r="E15" t="s">
        <v>373</v>
      </c>
      <c r="F15" t="s">
        <v>374</v>
      </c>
      <c r="G15">
        <v>2</v>
      </c>
    </row>
    <row r="16" spans="1:7" x14ac:dyDescent="0.25">
      <c r="A16" s="3" t="s">
        <v>375</v>
      </c>
      <c r="B16">
        <v>27</v>
      </c>
      <c r="C16">
        <v>41</v>
      </c>
      <c r="D16" t="s">
        <v>376</v>
      </c>
      <c r="E16" t="s">
        <v>377</v>
      </c>
      <c r="F16" t="s">
        <v>378</v>
      </c>
      <c r="G16">
        <v>2</v>
      </c>
    </row>
    <row r="17" spans="1:6" x14ac:dyDescent="0.25">
      <c r="A17" s="3"/>
    </row>
    <row r="18" spans="1:6" x14ac:dyDescent="0.25">
      <c r="A18" s="3"/>
    </row>
    <row r="19" spans="1:6" x14ac:dyDescent="0.25">
      <c r="A19" s="3"/>
    </row>
    <row r="22" spans="1:6" x14ac:dyDescent="0.25">
      <c r="B22" t="s">
        <v>238</v>
      </c>
    </row>
    <row r="23" spans="1:6" x14ac:dyDescent="0.25">
      <c r="B23" t="s">
        <v>213</v>
      </c>
      <c r="C23" t="s">
        <v>345</v>
      </c>
      <c r="D23" t="s">
        <v>346</v>
      </c>
      <c r="E23" t="s">
        <v>347</v>
      </c>
      <c r="F23" t="s">
        <v>348</v>
      </c>
    </row>
    <row r="24" spans="1:6" x14ac:dyDescent="0.25">
      <c r="B24">
        <v>28</v>
      </c>
      <c r="C24">
        <v>23</v>
      </c>
      <c r="D24" t="s">
        <v>381</v>
      </c>
      <c r="E24" t="s">
        <v>382</v>
      </c>
      <c r="F24" t="s">
        <v>383</v>
      </c>
    </row>
    <row r="25" spans="1:6" x14ac:dyDescent="0.25">
      <c r="B25">
        <v>111</v>
      </c>
      <c r="C25">
        <v>130</v>
      </c>
      <c r="D25" t="s">
        <v>384</v>
      </c>
      <c r="E25" t="s">
        <v>385</v>
      </c>
      <c r="F25" t="s">
        <v>386</v>
      </c>
    </row>
    <row r="26" spans="1:6" x14ac:dyDescent="0.25">
      <c r="B26">
        <v>234</v>
      </c>
      <c r="C26">
        <v>221</v>
      </c>
      <c r="D26" t="s">
        <v>387</v>
      </c>
      <c r="E26" t="s">
        <v>355</v>
      </c>
      <c r="F26" t="s">
        <v>388</v>
      </c>
    </row>
  </sheetData>
  <pageMargins left="0.7" right="0.7" top="0.75" bottom="0.75" header="0.3" footer="0.3"/>
  <ignoredErrors>
    <ignoredError sqref="B9:G12 A20:G29 A1:G2 G16 G14 A4:G7 A3:B3 D3:G3"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
  <sheetViews>
    <sheetView workbookViewId="0">
      <selection activeCell="C14" sqref="C14"/>
    </sheetView>
  </sheetViews>
  <sheetFormatPr defaultRowHeight="15.75" x14ac:dyDescent="0.25"/>
  <cols>
    <col min="2" max="2" width="27.25" customWidth="1"/>
    <col min="3" max="3" width="88.25" customWidth="1"/>
    <col min="4" max="4" width="22" customWidth="1"/>
    <col min="5" max="5" width="45.625" bestFit="1" customWidth="1"/>
    <col min="6" max="6" width="8.625" customWidth="1"/>
  </cols>
  <sheetData>
    <row r="1" spans="1:6" x14ac:dyDescent="0.25">
      <c r="B1" t="s">
        <v>389</v>
      </c>
      <c r="C1" t="s">
        <v>985</v>
      </c>
    </row>
    <row r="2" spans="1:6" x14ac:dyDescent="0.25">
      <c r="B2" t="s">
        <v>209</v>
      </c>
      <c r="C2" t="s">
        <v>984</v>
      </c>
    </row>
    <row r="3" spans="1:6" x14ac:dyDescent="0.25">
      <c r="A3" s="2">
        <v>46303</v>
      </c>
      <c r="B3" t="s">
        <v>211</v>
      </c>
      <c r="C3" t="s">
        <v>995</v>
      </c>
    </row>
    <row r="5" spans="1:6" x14ac:dyDescent="0.25">
      <c r="B5" t="s">
        <v>212</v>
      </c>
    </row>
    <row r="6" spans="1:6" x14ac:dyDescent="0.25">
      <c r="A6" t="s">
        <v>11</v>
      </c>
      <c r="B6" t="s">
        <v>213</v>
      </c>
      <c r="C6" t="s">
        <v>346</v>
      </c>
      <c r="D6" t="s">
        <v>347</v>
      </c>
      <c r="E6" t="s">
        <v>348</v>
      </c>
      <c r="F6" t="s">
        <v>217</v>
      </c>
    </row>
    <row r="7" spans="1:6" x14ac:dyDescent="0.25">
      <c r="A7" t="s">
        <v>227</v>
      </c>
      <c r="B7" t="s">
        <v>390</v>
      </c>
      <c r="C7" t="s">
        <v>394</v>
      </c>
      <c r="D7" t="s">
        <v>395</v>
      </c>
      <c r="E7" t="s">
        <v>396</v>
      </c>
      <c r="F7">
        <v>1</v>
      </c>
    </row>
    <row r="8" spans="1:6" x14ac:dyDescent="0.25">
      <c r="A8" t="s">
        <v>230</v>
      </c>
      <c r="B8">
        <v>247</v>
      </c>
      <c r="C8" t="s">
        <v>397</v>
      </c>
      <c r="D8" t="s">
        <v>398</v>
      </c>
      <c r="F8">
        <v>1</v>
      </c>
    </row>
    <row r="9" spans="1:6" x14ac:dyDescent="0.25">
      <c r="A9" t="s">
        <v>234</v>
      </c>
      <c r="B9" t="s">
        <v>390</v>
      </c>
      <c r="C9" s="12" t="s">
        <v>1012</v>
      </c>
      <c r="D9" t="s">
        <v>400</v>
      </c>
      <c r="F9">
        <v>1</v>
      </c>
    </row>
    <row r="10" spans="1:6" x14ac:dyDescent="0.25">
      <c r="A10" t="s">
        <v>336</v>
      </c>
      <c r="B10" t="s">
        <v>390</v>
      </c>
      <c r="C10" t="s">
        <v>391</v>
      </c>
      <c r="D10" t="s">
        <v>223</v>
      </c>
      <c r="E10" t="s">
        <v>949</v>
      </c>
      <c r="F10">
        <v>1</v>
      </c>
    </row>
    <row r="11" spans="1:6" x14ac:dyDescent="0.25">
      <c r="A11" t="s">
        <v>399</v>
      </c>
      <c r="B11">
        <v>273</v>
      </c>
      <c r="C11" t="s">
        <v>392</v>
      </c>
      <c r="D11" t="s">
        <v>393</v>
      </c>
      <c r="F11">
        <v>1</v>
      </c>
    </row>
  </sheetData>
  <pageMargins left="0.7" right="0.7" top="0.75" bottom="0.75" header="0.3" footer="0.3"/>
  <ignoredErrors>
    <ignoredError sqref="A1:B1 A12:F13 A7 A4:F6 A2:B2 D2:F2 D1:F1 A3:B3 D3:F3 A8:A11"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5"/>
  <sheetViews>
    <sheetView workbookViewId="0">
      <selection activeCell="C3" sqref="C3"/>
    </sheetView>
  </sheetViews>
  <sheetFormatPr defaultRowHeight="15.75" x14ac:dyDescent="0.25"/>
  <cols>
    <col min="2" max="2" width="16.25" customWidth="1"/>
    <col min="3" max="3" width="141.75" customWidth="1"/>
    <col min="4" max="4" width="27.75" customWidth="1"/>
    <col min="5" max="5" width="57.375" customWidth="1"/>
    <col min="6" max="6" width="27" customWidth="1"/>
  </cols>
  <sheetData>
    <row r="1" spans="1:6" x14ac:dyDescent="0.25">
      <c r="B1" t="s">
        <v>207</v>
      </c>
      <c r="C1" t="s">
        <v>401</v>
      </c>
    </row>
    <row r="2" spans="1:6" x14ac:dyDescent="0.25">
      <c r="B2" t="s">
        <v>209</v>
      </c>
      <c r="C2" t="s">
        <v>402</v>
      </c>
    </row>
    <row r="3" spans="1:6" x14ac:dyDescent="0.25">
      <c r="A3" s="2">
        <v>46303</v>
      </c>
      <c r="B3" t="s">
        <v>211</v>
      </c>
      <c r="C3" t="s">
        <v>996</v>
      </c>
    </row>
    <row r="5" spans="1:6" x14ac:dyDescent="0.25">
      <c r="B5" t="s">
        <v>212</v>
      </c>
    </row>
    <row r="6" spans="1:6" x14ac:dyDescent="0.25">
      <c r="A6" t="s">
        <v>11</v>
      </c>
      <c r="B6" t="s">
        <v>213</v>
      </c>
      <c r="C6" t="s">
        <v>346</v>
      </c>
      <c r="D6" t="s">
        <v>347</v>
      </c>
      <c r="E6" t="s">
        <v>348</v>
      </c>
      <c r="F6" t="s">
        <v>217</v>
      </c>
    </row>
    <row r="7" spans="1:6" x14ac:dyDescent="0.25">
      <c r="A7" t="s">
        <v>265</v>
      </c>
      <c r="B7">
        <v>185</v>
      </c>
      <c r="C7" t="s">
        <v>403</v>
      </c>
      <c r="D7" t="s">
        <v>314</v>
      </c>
      <c r="F7">
        <v>1</v>
      </c>
    </row>
    <row r="8" spans="1:6" x14ac:dyDescent="0.25">
      <c r="A8" t="s">
        <v>268</v>
      </c>
      <c r="B8">
        <v>214</v>
      </c>
      <c r="C8" t="s">
        <v>404</v>
      </c>
      <c r="D8" t="s">
        <v>405</v>
      </c>
      <c r="E8" t="s">
        <v>406</v>
      </c>
      <c r="F8">
        <v>1</v>
      </c>
    </row>
    <row r="9" spans="1:6" x14ac:dyDescent="0.25">
      <c r="A9" t="s">
        <v>271</v>
      </c>
      <c r="B9">
        <v>236</v>
      </c>
      <c r="C9" t="s">
        <v>407</v>
      </c>
      <c r="D9" t="s">
        <v>408</v>
      </c>
      <c r="F9">
        <v>1</v>
      </c>
    </row>
    <row r="10" spans="1:6" x14ac:dyDescent="0.25">
      <c r="A10" t="s">
        <v>275</v>
      </c>
      <c r="B10">
        <v>199</v>
      </c>
      <c r="C10" t="s">
        <v>409</v>
      </c>
      <c r="D10" t="s">
        <v>410</v>
      </c>
      <c r="E10" t="s">
        <v>411</v>
      </c>
      <c r="F10">
        <v>1</v>
      </c>
    </row>
    <row r="11" spans="1:6" x14ac:dyDescent="0.25">
      <c r="A11" t="s">
        <v>279</v>
      </c>
      <c r="B11">
        <v>253</v>
      </c>
      <c r="C11" t="s">
        <v>412</v>
      </c>
      <c r="D11" t="s">
        <v>413</v>
      </c>
      <c r="E11" t="s">
        <v>414</v>
      </c>
      <c r="F11">
        <v>1</v>
      </c>
    </row>
    <row r="12" spans="1:6" x14ac:dyDescent="0.25">
      <c r="A12" t="s">
        <v>282</v>
      </c>
      <c r="B12">
        <v>276</v>
      </c>
      <c r="C12" t="s">
        <v>415</v>
      </c>
      <c r="D12" t="s">
        <v>416</v>
      </c>
      <c r="F12">
        <v>1</v>
      </c>
    </row>
    <row r="13" spans="1:6" x14ac:dyDescent="0.25">
      <c r="A13" t="s">
        <v>286</v>
      </c>
      <c r="B13">
        <v>1051</v>
      </c>
      <c r="C13" t="s">
        <v>417</v>
      </c>
      <c r="D13" t="s">
        <v>418</v>
      </c>
      <c r="E13" t="s">
        <v>223</v>
      </c>
      <c r="F13">
        <v>1</v>
      </c>
    </row>
    <row r="14" spans="1:6" x14ac:dyDescent="0.25">
      <c r="A14" t="s">
        <v>290</v>
      </c>
      <c r="B14">
        <v>132</v>
      </c>
      <c r="C14" t="s">
        <v>419</v>
      </c>
      <c r="D14" t="s">
        <v>420</v>
      </c>
      <c r="E14" t="s">
        <v>968</v>
      </c>
      <c r="F14">
        <v>1</v>
      </c>
    </row>
    <row r="15" spans="1:6" x14ac:dyDescent="0.25">
      <c r="A15" t="s">
        <v>371</v>
      </c>
      <c r="B15">
        <v>115</v>
      </c>
      <c r="C15" t="s">
        <v>421</v>
      </c>
      <c r="D15" t="s">
        <v>422</v>
      </c>
      <c r="E15" t="s">
        <v>423</v>
      </c>
      <c r="F15">
        <v>2</v>
      </c>
    </row>
    <row r="16" spans="1:6" x14ac:dyDescent="0.25">
      <c r="A16" t="s">
        <v>375</v>
      </c>
      <c r="B16">
        <v>24</v>
      </c>
      <c r="C16" t="s">
        <v>424</v>
      </c>
      <c r="D16" t="s">
        <v>425</v>
      </c>
      <c r="E16" t="s">
        <v>426</v>
      </c>
      <c r="F16">
        <v>2</v>
      </c>
    </row>
    <row r="17" spans="1:6" x14ac:dyDescent="0.25">
      <c r="A17" t="s">
        <v>379</v>
      </c>
      <c r="B17">
        <v>232</v>
      </c>
      <c r="C17" t="s">
        <v>427</v>
      </c>
      <c r="D17" t="s">
        <v>425</v>
      </c>
      <c r="E17" t="s">
        <v>428</v>
      </c>
      <c r="F17">
        <v>2</v>
      </c>
    </row>
    <row r="18" spans="1:6" x14ac:dyDescent="0.25">
      <c r="A18" t="s">
        <v>380</v>
      </c>
      <c r="B18">
        <v>275</v>
      </c>
      <c r="C18" t="s">
        <v>429</v>
      </c>
      <c r="D18" t="s">
        <v>416</v>
      </c>
      <c r="E18" t="s">
        <v>430</v>
      </c>
      <c r="F18">
        <v>2</v>
      </c>
    </row>
    <row r="19" spans="1:6" x14ac:dyDescent="0.25">
      <c r="A19" t="s">
        <v>431</v>
      </c>
      <c r="B19">
        <v>274</v>
      </c>
      <c r="C19" t="s">
        <v>432</v>
      </c>
      <c r="D19" t="s">
        <v>433</v>
      </c>
      <c r="E19" t="s">
        <v>434</v>
      </c>
      <c r="F19">
        <v>2</v>
      </c>
    </row>
    <row r="22" spans="1:6" x14ac:dyDescent="0.25">
      <c r="B22" t="s">
        <v>238</v>
      </c>
    </row>
    <row r="23" spans="1:6" x14ac:dyDescent="0.25">
      <c r="B23" t="s">
        <v>213</v>
      </c>
      <c r="C23" t="s">
        <v>346</v>
      </c>
      <c r="D23" t="s">
        <v>347</v>
      </c>
      <c r="E23" t="s">
        <v>348</v>
      </c>
    </row>
    <row r="24" spans="1:6" x14ac:dyDescent="0.25">
      <c r="B24">
        <v>134</v>
      </c>
      <c r="C24" t="s">
        <v>435</v>
      </c>
      <c r="D24" t="s">
        <v>436</v>
      </c>
      <c r="E24" t="s">
        <v>437</v>
      </c>
    </row>
    <row r="25" spans="1:6" x14ac:dyDescent="0.25">
      <c r="B25">
        <v>177</v>
      </c>
      <c r="C25" t="s">
        <v>438</v>
      </c>
      <c r="D25" t="s">
        <v>439</v>
      </c>
      <c r="E25" t="s">
        <v>440</v>
      </c>
    </row>
  </sheetData>
  <pageMargins left="0.7" right="0.7" top="0.75" bottom="0.75" header="0.3" footer="0.3"/>
  <ignoredErrors>
    <ignoredError sqref="A1:F2 A15:F29 A14:D14 F14 A4:F13 A3:B3 D3:F3"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4"/>
  <sheetViews>
    <sheetView workbookViewId="0">
      <selection activeCell="E18" sqref="E18"/>
    </sheetView>
  </sheetViews>
  <sheetFormatPr defaultRowHeight="15.75" x14ac:dyDescent="0.25"/>
  <cols>
    <col min="2" max="2" width="15.375" customWidth="1"/>
    <col min="3" max="3" width="144.125" customWidth="1"/>
    <col min="4" max="4" width="27.625" customWidth="1"/>
    <col min="5" max="5" width="105.375" customWidth="1"/>
    <col min="6" max="6" width="8.625" customWidth="1"/>
  </cols>
  <sheetData>
    <row r="1" spans="1:6" x14ac:dyDescent="0.25">
      <c r="B1" t="s">
        <v>207</v>
      </c>
      <c r="C1" t="s">
        <v>441</v>
      </c>
    </row>
    <row r="2" spans="1:6" x14ac:dyDescent="0.25">
      <c r="B2" t="s">
        <v>209</v>
      </c>
      <c r="C2" t="s">
        <v>442</v>
      </c>
    </row>
    <row r="3" spans="1:6" x14ac:dyDescent="0.25">
      <c r="A3" s="2">
        <v>46301</v>
      </c>
      <c r="B3" t="s">
        <v>211</v>
      </c>
      <c r="C3" t="s">
        <v>125</v>
      </c>
    </row>
    <row r="5" spans="1:6" x14ac:dyDescent="0.25">
      <c r="B5" t="s">
        <v>212</v>
      </c>
    </row>
    <row r="6" spans="1:6" x14ac:dyDescent="0.25">
      <c r="A6" t="s">
        <v>11</v>
      </c>
      <c r="B6" t="s">
        <v>213</v>
      </c>
      <c r="C6" t="s">
        <v>346</v>
      </c>
      <c r="D6" t="s">
        <v>347</v>
      </c>
      <c r="E6" t="s">
        <v>348</v>
      </c>
      <c r="F6" t="s">
        <v>217</v>
      </c>
    </row>
    <row r="7" spans="1:6" x14ac:dyDescent="0.25">
      <c r="A7" t="s">
        <v>443</v>
      </c>
      <c r="B7">
        <v>23</v>
      </c>
      <c r="C7" t="s">
        <v>444</v>
      </c>
      <c r="D7" t="s">
        <v>445</v>
      </c>
      <c r="E7" t="s">
        <v>446</v>
      </c>
      <c r="F7">
        <v>1</v>
      </c>
    </row>
    <row r="8" spans="1:6" ht="28.9" customHeight="1" x14ac:dyDescent="0.25">
      <c r="A8" t="s">
        <v>447</v>
      </c>
      <c r="B8">
        <v>148</v>
      </c>
      <c r="C8" t="s">
        <v>448</v>
      </c>
      <c r="D8" t="s">
        <v>449</v>
      </c>
      <c r="E8" t="s">
        <v>450</v>
      </c>
      <c r="F8">
        <v>1</v>
      </c>
    </row>
    <row r="9" spans="1:6" x14ac:dyDescent="0.25">
      <c r="A9" t="s">
        <v>220</v>
      </c>
      <c r="B9">
        <v>95</v>
      </c>
      <c r="C9" t="s">
        <v>451</v>
      </c>
      <c r="D9" t="s">
        <v>452</v>
      </c>
      <c r="E9" t="s">
        <v>453</v>
      </c>
      <c r="F9">
        <v>2</v>
      </c>
    </row>
    <row r="10" spans="1:6" ht="43.15" customHeight="1" x14ac:dyDescent="0.25">
      <c r="A10" t="s">
        <v>224</v>
      </c>
      <c r="B10">
        <v>104</v>
      </c>
      <c r="C10" t="s">
        <v>454</v>
      </c>
      <c r="D10" t="s">
        <v>455</v>
      </c>
      <c r="E10" t="s">
        <v>456</v>
      </c>
      <c r="F10">
        <v>2</v>
      </c>
    </row>
    <row r="11" spans="1:6" ht="28.9" customHeight="1" x14ac:dyDescent="0.25">
      <c r="A11" t="s">
        <v>227</v>
      </c>
      <c r="B11">
        <v>113</v>
      </c>
      <c r="C11" t="s">
        <v>457</v>
      </c>
      <c r="D11" t="s">
        <v>458</v>
      </c>
      <c r="E11" t="s">
        <v>459</v>
      </c>
      <c r="F11">
        <v>2</v>
      </c>
    </row>
    <row r="12" spans="1:6" x14ac:dyDescent="0.25">
      <c r="A12" t="s">
        <v>230</v>
      </c>
      <c r="B12">
        <v>121</v>
      </c>
      <c r="C12" t="s">
        <v>460</v>
      </c>
      <c r="D12" t="s">
        <v>461</v>
      </c>
      <c r="E12" t="s">
        <v>462</v>
      </c>
      <c r="F12">
        <v>2</v>
      </c>
    </row>
    <row r="13" spans="1:6" x14ac:dyDescent="0.25">
      <c r="A13" t="s">
        <v>234</v>
      </c>
      <c r="B13">
        <v>147</v>
      </c>
      <c r="C13" t="s">
        <v>463</v>
      </c>
      <c r="D13" t="s">
        <v>449</v>
      </c>
      <c r="E13" t="s">
        <v>464</v>
      </c>
      <c r="F13">
        <v>2</v>
      </c>
    </row>
    <row r="14" spans="1:6" ht="43.15" customHeight="1" x14ac:dyDescent="0.25">
      <c r="A14" t="s">
        <v>336</v>
      </c>
      <c r="B14">
        <v>78</v>
      </c>
      <c r="C14" t="s">
        <v>465</v>
      </c>
      <c r="D14" t="s">
        <v>466</v>
      </c>
      <c r="E14" t="s">
        <v>467</v>
      </c>
      <c r="F14">
        <v>2</v>
      </c>
    </row>
    <row r="15" spans="1:6" x14ac:dyDescent="0.25">
      <c r="A15" t="s">
        <v>399</v>
      </c>
      <c r="B15">
        <v>201</v>
      </c>
      <c r="C15" t="s">
        <v>468</v>
      </c>
      <c r="D15" t="s">
        <v>469</v>
      </c>
      <c r="E15" t="s">
        <v>470</v>
      </c>
      <c r="F15">
        <v>2</v>
      </c>
    </row>
    <row r="16" spans="1:6" x14ac:dyDescent="0.25">
      <c r="A16" t="s">
        <v>471</v>
      </c>
      <c r="B16">
        <v>251</v>
      </c>
      <c r="C16" t="s">
        <v>472</v>
      </c>
      <c r="D16" t="s">
        <v>473</v>
      </c>
      <c r="E16" t="s">
        <v>972</v>
      </c>
      <c r="F16">
        <v>2</v>
      </c>
    </row>
    <row r="22" spans="2:5" x14ac:dyDescent="0.25">
      <c r="B22" t="s">
        <v>238</v>
      </c>
    </row>
    <row r="23" spans="2:5" x14ac:dyDescent="0.25">
      <c r="B23" t="s">
        <v>213</v>
      </c>
      <c r="C23" t="s">
        <v>346</v>
      </c>
      <c r="D23" t="s">
        <v>347</v>
      </c>
      <c r="E23" t="s">
        <v>348</v>
      </c>
    </row>
    <row r="24" spans="2:5" ht="28.9" customHeight="1" x14ac:dyDescent="0.25">
      <c r="B24">
        <v>149</v>
      </c>
      <c r="C24" t="s">
        <v>474</v>
      </c>
      <c r="D24" t="s">
        <v>449</v>
      </c>
      <c r="E24" t="s">
        <v>475</v>
      </c>
    </row>
  </sheetData>
  <pageMargins left="0.7" right="0.7" top="0.75" bottom="0.75" header="0.3" footer="0.3"/>
  <ignoredErrors>
    <ignoredError sqref="A1:F15 A17:F24 A16:D16 F16"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2"/>
  <sheetViews>
    <sheetView workbookViewId="0">
      <selection activeCell="C3" sqref="C3"/>
    </sheetView>
  </sheetViews>
  <sheetFormatPr defaultRowHeight="15.75" x14ac:dyDescent="0.25"/>
  <cols>
    <col min="1" max="1" width="16.75" customWidth="1"/>
    <col min="2" max="2" width="17.25" customWidth="1"/>
    <col min="3" max="3" width="108.25" customWidth="1"/>
    <col min="4" max="4" width="23.375" customWidth="1"/>
    <col min="5" max="5" width="84.75" customWidth="1"/>
    <col min="6" max="6" width="8.625" customWidth="1"/>
  </cols>
  <sheetData>
    <row r="1" spans="1:6" x14ac:dyDescent="0.25">
      <c r="A1" t="s">
        <v>476</v>
      </c>
      <c r="B1" t="s">
        <v>207</v>
      </c>
      <c r="C1" t="s">
        <v>477</v>
      </c>
    </row>
    <row r="2" spans="1:6" x14ac:dyDescent="0.25">
      <c r="B2" t="s">
        <v>209</v>
      </c>
      <c r="C2" t="s">
        <v>478</v>
      </c>
    </row>
    <row r="3" spans="1:6" x14ac:dyDescent="0.25">
      <c r="A3" s="2">
        <v>46303</v>
      </c>
      <c r="B3" t="s">
        <v>211</v>
      </c>
      <c r="C3" t="s">
        <v>996</v>
      </c>
    </row>
    <row r="5" spans="1:6" x14ac:dyDescent="0.25">
      <c r="B5" t="s">
        <v>212</v>
      </c>
    </row>
    <row r="6" spans="1:6" x14ac:dyDescent="0.25">
      <c r="A6" t="s">
        <v>11</v>
      </c>
      <c r="B6" t="s">
        <v>213</v>
      </c>
      <c r="C6" t="s">
        <v>346</v>
      </c>
      <c r="D6" t="s">
        <v>347</v>
      </c>
      <c r="E6" t="s">
        <v>348</v>
      </c>
      <c r="F6" t="s">
        <v>217</v>
      </c>
    </row>
    <row r="7" spans="1:6" x14ac:dyDescent="0.25">
      <c r="A7" t="s">
        <v>224</v>
      </c>
      <c r="B7">
        <v>37</v>
      </c>
      <c r="C7" t="s">
        <v>479</v>
      </c>
      <c r="D7" t="s">
        <v>480</v>
      </c>
      <c r="E7" t="s">
        <v>481</v>
      </c>
      <c r="F7">
        <v>1</v>
      </c>
    </row>
    <row r="8" spans="1:6" x14ac:dyDescent="0.25">
      <c r="A8" t="s">
        <v>227</v>
      </c>
      <c r="B8">
        <v>60</v>
      </c>
      <c r="C8" t="s">
        <v>482</v>
      </c>
      <c r="D8" t="s">
        <v>483</v>
      </c>
      <c r="E8" t="s">
        <v>484</v>
      </c>
      <c r="F8">
        <v>1</v>
      </c>
    </row>
    <row r="9" spans="1:6" x14ac:dyDescent="0.25">
      <c r="A9" t="s">
        <v>230</v>
      </c>
      <c r="B9">
        <v>80</v>
      </c>
      <c r="C9" t="s">
        <v>485</v>
      </c>
      <c r="D9" t="s">
        <v>486</v>
      </c>
      <c r="E9" t="s">
        <v>487</v>
      </c>
      <c r="F9">
        <v>1</v>
      </c>
    </row>
    <row r="10" spans="1:6" x14ac:dyDescent="0.25">
      <c r="A10" t="s">
        <v>234</v>
      </c>
      <c r="B10">
        <v>99</v>
      </c>
      <c r="C10" t="s">
        <v>488</v>
      </c>
      <c r="D10" t="s">
        <v>489</v>
      </c>
      <c r="E10" t="s">
        <v>490</v>
      </c>
      <c r="F10">
        <v>1</v>
      </c>
    </row>
    <row r="11" spans="1:6" x14ac:dyDescent="0.25">
      <c r="A11" t="s">
        <v>336</v>
      </c>
      <c r="B11">
        <v>129</v>
      </c>
      <c r="C11" t="s">
        <v>491</v>
      </c>
      <c r="D11" t="s">
        <v>492</v>
      </c>
      <c r="E11" t="s">
        <v>493</v>
      </c>
      <c r="F11">
        <v>1</v>
      </c>
    </row>
    <row r="12" spans="1:6" x14ac:dyDescent="0.25">
      <c r="A12" t="s">
        <v>399</v>
      </c>
      <c r="B12">
        <v>142</v>
      </c>
      <c r="C12" t="s">
        <v>494</v>
      </c>
      <c r="D12" t="s">
        <v>495</v>
      </c>
      <c r="E12" t="s">
        <v>496</v>
      </c>
      <c r="F12">
        <v>1</v>
      </c>
    </row>
  </sheetData>
  <pageMargins left="0.7" right="0.7" top="0.75" bottom="0.75" header="0.3" footer="0.3"/>
  <ignoredErrors>
    <ignoredError sqref="A1:F2 A4:F12 A3:B3 D3:F3"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13"/>
  <sheetViews>
    <sheetView workbookViewId="0">
      <selection activeCell="C4" sqref="C4"/>
    </sheetView>
  </sheetViews>
  <sheetFormatPr defaultRowHeight="15.75" x14ac:dyDescent="0.25"/>
  <cols>
    <col min="2" max="2" width="15.75" customWidth="1"/>
    <col min="3" max="3" width="120.125" customWidth="1"/>
    <col min="4" max="4" width="22.25" customWidth="1"/>
    <col min="5" max="5" width="85.25" customWidth="1"/>
    <col min="6" max="6" width="8.625" customWidth="1"/>
  </cols>
  <sheetData>
    <row r="1" spans="1:5" x14ac:dyDescent="0.25">
      <c r="B1" t="s">
        <v>207</v>
      </c>
      <c r="C1" t="s">
        <v>497</v>
      </c>
    </row>
    <row r="2" spans="1:5" x14ac:dyDescent="0.25">
      <c r="B2" t="s">
        <v>209</v>
      </c>
      <c r="C2" t="s">
        <v>498</v>
      </c>
    </row>
    <row r="3" spans="1:5" x14ac:dyDescent="0.25">
      <c r="A3" s="2">
        <v>46300</v>
      </c>
      <c r="B3" t="s">
        <v>211</v>
      </c>
      <c r="C3" t="s">
        <v>996</v>
      </c>
    </row>
    <row r="4" spans="1:5" x14ac:dyDescent="0.25">
      <c r="A4" s="2">
        <v>46301</v>
      </c>
      <c r="B4" t="s">
        <v>211</v>
      </c>
      <c r="C4" t="s">
        <v>996</v>
      </c>
    </row>
    <row r="6" spans="1:5" x14ac:dyDescent="0.25">
      <c r="B6" t="s">
        <v>238</v>
      </c>
    </row>
    <row r="7" spans="1:5" x14ac:dyDescent="0.25">
      <c r="B7" t="s">
        <v>213</v>
      </c>
      <c r="C7" t="s">
        <v>346</v>
      </c>
      <c r="D7" t="s">
        <v>347</v>
      </c>
      <c r="E7" t="s">
        <v>348</v>
      </c>
    </row>
    <row r="8" spans="1:5" x14ac:dyDescent="0.25">
      <c r="B8">
        <v>13</v>
      </c>
      <c r="C8" t="s">
        <v>524</v>
      </c>
      <c r="D8" t="s">
        <v>525</v>
      </c>
    </row>
    <row r="9" spans="1:5" x14ac:dyDescent="0.25">
      <c r="B9">
        <v>36</v>
      </c>
      <c r="C9" t="s">
        <v>526</v>
      </c>
      <c r="D9" t="s">
        <v>527</v>
      </c>
      <c r="E9" t="s">
        <v>528</v>
      </c>
    </row>
    <row r="10" spans="1:5" x14ac:dyDescent="0.25">
      <c r="B10">
        <v>63</v>
      </c>
      <c r="C10" t="s">
        <v>529</v>
      </c>
      <c r="D10" t="s">
        <v>527</v>
      </c>
      <c r="E10" t="s">
        <v>977</v>
      </c>
    </row>
    <row r="11" spans="1:5" x14ac:dyDescent="0.25">
      <c r="B11">
        <v>128</v>
      </c>
      <c r="C11" t="s">
        <v>530</v>
      </c>
      <c r="D11" t="s">
        <v>513</v>
      </c>
      <c r="E11" t="s">
        <v>531</v>
      </c>
    </row>
    <row r="12" spans="1:5" x14ac:dyDescent="0.25">
      <c r="B12">
        <v>143</v>
      </c>
      <c r="C12" t="s">
        <v>532</v>
      </c>
      <c r="D12" t="s">
        <v>533</v>
      </c>
      <c r="E12" t="s">
        <v>386</v>
      </c>
    </row>
    <row r="13" spans="1:5" x14ac:dyDescent="0.25">
      <c r="B13">
        <v>202</v>
      </c>
      <c r="C13" t="s">
        <v>534</v>
      </c>
      <c r="D13" t="s">
        <v>535</v>
      </c>
      <c r="E13" t="s">
        <v>536</v>
      </c>
    </row>
  </sheetData>
  <pageMargins left="0.7" right="0.7" top="0.75" bottom="0.75" header="0.3" footer="0.3"/>
  <ignoredErrors>
    <ignoredError sqref="A1:F2 A11:F13 A10:D10 F10 A6:F9 A5:F5 A3:B3 D3:F3 A4:B4 D4:F4"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14"/>
  <sheetViews>
    <sheetView workbookViewId="0">
      <selection activeCell="C3" sqref="C3"/>
    </sheetView>
  </sheetViews>
  <sheetFormatPr defaultRowHeight="15.75" x14ac:dyDescent="0.25"/>
  <cols>
    <col min="1" max="1" width="26.125" customWidth="1"/>
    <col min="2" max="2" width="15.75" customWidth="1"/>
    <col min="3" max="3" width="120.125" customWidth="1"/>
    <col min="4" max="4" width="22.25" customWidth="1"/>
    <col min="5" max="5" width="85.25" customWidth="1"/>
    <col min="6" max="6" width="8.5" customWidth="1"/>
  </cols>
  <sheetData>
    <row r="1" spans="1:6" x14ac:dyDescent="0.25">
      <c r="B1" t="s">
        <v>207</v>
      </c>
      <c r="C1" t="s">
        <v>497</v>
      </c>
    </row>
    <row r="2" spans="1:6" x14ac:dyDescent="0.25">
      <c r="B2" t="s">
        <v>209</v>
      </c>
      <c r="C2" t="s">
        <v>498</v>
      </c>
    </row>
    <row r="3" spans="1:6" x14ac:dyDescent="0.25">
      <c r="A3" s="2">
        <v>46300</v>
      </c>
      <c r="B3" t="s">
        <v>211</v>
      </c>
      <c r="C3" t="s">
        <v>996</v>
      </c>
    </row>
    <row r="5" spans="1:6" x14ac:dyDescent="0.25">
      <c r="B5" t="s">
        <v>212</v>
      </c>
    </row>
    <row r="6" spans="1:6" x14ac:dyDescent="0.25">
      <c r="A6" t="s">
        <v>11</v>
      </c>
      <c r="B6" t="s">
        <v>213</v>
      </c>
      <c r="C6" t="s">
        <v>346</v>
      </c>
      <c r="D6" t="s">
        <v>347</v>
      </c>
      <c r="E6" t="s">
        <v>348</v>
      </c>
      <c r="F6" t="s">
        <v>217</v>
      </c>
    </row>
    <row r="7" spans="1:6" x14ac:dyDescent="0.25">
      <c r="A7" s="3" t="s">
        <v>218</v>
      </c>
      <c r="B7">
        <v>92</v>
      </c>
      <c r="C7" t="s">
        <v>499</v>
      </c>
      <c r="D7" t="s">
        <v>500</v>
      </c>
      <c r="E7" t="s">
        <v>501</v>
      </c>
      <c r="F7">
        <v>1</v>
      </c>
    </row>
    <row r="8" spans="1:6" x14ac:dyDescent="0.25">
      <c r="A8" t="s">
        <v>220</v>
      </c>
      <c r="B8">
        <v>76</v>
      </c>
      <c r="C8" t="s">
        <v>502</v>
      </c>
      <c r="D8" t="s">
        <v>503</v>
      </c>
      <c r="F8">
        <v>1</v>
      </c>
    </row>
    <row r="9" spans="1:6" x14ac:dyDescent="0.25">
      <c r="A9" t="s">
        <v>224</v>
      </c>
      <c r="B9">
        <v>138</v>
      </c>
      <c r="C9" t="s">
        <v>504</v>
      </c>
      <c r="D9" t="s">
        <v>505</v>
      </c>
      <c r="E9" t="s">
        <v>506</v>
      </c>
      <c r="F9">
        <v>1</v>
      </c>
    </row>
    <row r="10" spans="1:6" x14ac:dyDescent="0.25">
      <c r="A10" t="s">
        <v>227</v>
      </c>
      <c r="B10">
        <v>194</v>
      </c>
      <c r="C10" t="s">
        <v>507</v>
      </c>
      <c r="D10" t="s">
        <v>508</v>
      </c>
      <c r="F10">
        <v>1</v>
      </c>
    </row>
    <row r="11" spans="1:6" x14ac:dyDescent="0.25">
      <c r="A11" t="s">
        <v>230</v>
      </c>
      <c r="B11">
        <v>237</v>
      </c>
      <c r="C11" t="s">
        <v>522</v>
      </c>
      <c r="D11" t="s">
        <v>523</v>
      </c>
      <c r="E11" t="s">
        <v>959</v>
      </c>
      <c r="F11">
        <v>1</v>
      </c>
    </row>
    <row r="12" spans="1:6" x14ac:dyDescent="0.25">
      <c r="A12" t="s">
        <v>234</v>
      </c>
      <c r="B12">
        <v>127</v>
      </c>
      <c r="C12" t="s">
        <v>512</v>
      </c>
      <c r="D12" t="s">
        <v>513</v>
      </c>
      <c r="E12" t="s">
        <v>514</v>
      </c>
      <c r="F12">
        <v>1</v>
      </c>
    </row>
    <row r="13" spans="1:6" x14ac:dyDescent="0.25">
      <c r="A13" t="s">
        <v>336</v>
      </c>
      <c r="B13">
        <v>122</v>
      </c>
      <c r="C13" t="s">
        <v>515</v>
      </c>
      <c r="D13" t="s">
        <v>516</v>
      </c>
      <c r="E13" t="s">
        <v>964</v>
      </c>
      <c r="F13">
        <v>1</v>
      </c>
    </row>
    <row r="14" spans="1:6" x14ac:dyDescent="0.25">
      <c r="A14" t="s">
        <v>399</v>
      </c>
      <c r="B14">
        <v>71</v>
      </c>
      <c r="C14" t="s">
        <v>517</v>
      </c>
      <c r="D14" t="s">
        <v>518</v>
      </c>
      <c r="E14" t="s">
        <v>519</v>
      </c>
      <c r="F14">
        <v>1</v>
      </c>
    </row>
  </sheetData>
  <pageMargins left="0.7" right="0.7" top="0.75" bottom="0.75" header="0.3" footer="0.3"/>
  <ignoredErrors>
    <ignoredError sqref="A1:F2 A12:F12 A11:D11 F11 A14:F14 A13:D13 F13 A4:F10 A3:B3 D3:F3"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8"/>
  <sheetViews>
    <sheetView workbookViewId="0">
      <selection activeCell="C3" sqref="C3"/>
    </sheetView>
  </sheetViews>
  <sheetFormatPr defaultRowHeight="15.75" x14ac:dyDescent="0.25"/>
  <cols>
    <col min="1" max="1" width="26.25" customWidth="1"/>
    <col min="2" max="2" width="15.75" customWidth="1"/>
    <col min="3" max="3" width="120.125" customWidth="1"/>
    <col min="4" max="4" width="22.25" customWidth="1"/>
    <col min="5" max="5" width="85.25" customWidth="1"/>
    <col min="6" max="6" width="8.75" customWidth="1"/>
  </cols>
  <sheetData>
    <row r="1" spans="1:6" x14ac:dyDescent="0.25">
      <c r="B1" t="s">
        <v>207</v>
      </c>
      <c r="C1" t="s">
        <v>497</v>
      </c>
    </row>
    <row r="2" spans="1:6" x14ac:dyDescent="0.25">
      <c r="B2" t="s">
        <v>209</v>
      </c>
      <c r="C2" t="s">
        <v>498</v>
      </c>
    </row>
    <row r="3" spans="1:6" x14ac:dyDescent="0.25">
      <c r="A3" s="2">
        <v>46301</v>
      </c>
      <c r="B3" t="s">
        <v>211</v>
      </c>
      <c r="C3" t="s">
        <v>996</v>
      </c>
    </row>
    <row r="5" spans="1:6" x14ac:dyDescent="0.25">
      <c r="B5" t="s">
        <v>212</v>
      </c>
    </row>
    <row r="6" spans="1:6" x14ac:dyDescent="0.25">
      <c r="A6" t="s">
        <v>11</v>
      </c>
      <c r="B6" t="s">
        <v>213</v>
      </c>
      <c r="C6" t="s">
        <v>346</v>
      </c>
      <c r="D6" t="s">
        <v>347</v>
      </c>
      <c r="E6" t="s">
        <v>348</v>
      </c>
      <c r="F6" t="s">
        <v>217</v>
      </c>
    </row>
    <row r="7" spans="1:6" ht="15" customHeight="1" x14ac:dyDescent="0.25">
      <c r="A7" t="s">
        <v>265</v>
      </c>
      <c r="B7">
        <v>162</v>
      </c>
      <c r="C7" t="s">
        <v>509</v>
      </c>
      <c r="D7" t="s">
        <v>510</v>
      </c>
      <c r="E7" t="s">
        <v>511</v>
      </c>
      <c r="F7">
        <v>1</v>
      </c>
    </row>
    <row r="8" spans="1:6" ht="15" customHeight="1" x14ac:dyDescent="0.25">
      <c r="A8" t="s">
        <v>268</v>
      </c>
      <c r="B8">
        <v>224</v>
      </c>
      <c r="C8" t="s">
        <v>520</v>
      </c>
      <c r="D8" t="s">
        <v>492</v>
      </c>
      <c r="E8" t="s">
        <v>521</v>
      </c>
      <c r="F8">
        <v>1</v>
      </c>
    </row>
  </sheetData>
  <pageMargins left="0.7" right="0.7" top="0.75" bottom="0.75" header="0.3" footer="0.3"/>
  <ignoredErrors>
    <ignoredError sqref="A1:F2 B8:F8 B7:F7 A4:F6 A3:B3 D3:F3"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18"/>
  <sheetViews>
    <sheetView workbookViewId="0">
      <selection activeCell="C10" sqref="C10"/>
    </sheetView>
  </sheetViews>
  <sheetFormatPr defaultRowHeight="15.75" x14ac:dyDescent="0.25"/>
  <cols>
    <col min="2" max="2" width="20" customWidth="1"/>
    <col min="3" max="3" width="120.25" customWidth="1"/>
    <col min="4" max="4" width="24.25" customWidth="1"/>
    <col min="5" max="5" width="74.25" customWidth="1"/>
    <col min="6" max="6" width="8.75" customWidth="1"/>
  </cols>
  <sheetData>
    <row r="1" spans="1:6" x14ac:dyDescent="0.25">
      <c r="B1" t="s">
        <v>207</v>
      </c>
      <c r="C1" t="s">
        <v>537</v>
      </c>
    </row>
    <row r="2" spans="1:6" x14ac:dyDescent="0.25">
      <c r="B2" t="s">
        <v>209</v>
      </c>
      <c r="C2" t="s">
        <v>538</v>
      </c>
    </row>
    <row r="3" spans="1:6" x14ac:dyDescent="0.25">
      <c r="A3" s="2">
        <v>46300</v>
      </c>
      <c r="B3" t="s">
        <v>211</v>
      </c>
      <c r="C3" t="s">
        <v>995</v>
      </c>
    </row>
    <row r="5" spans="1:6" x14ac:dyDescent="0.25">
      <c r="B5" t="s">
        <v>212</v>
      </c>
    </row>
    <row r="6" spans="1:6" x14ac:dyDescent="0.25">
      <c r="A6" t="s">
        <v>11</v>
      </c>
      <c r="B6" t="s">
        <v>213</v>
      </c>
      <c r="C6" t="s">
        <v>346</v>
      </c>
      <c r="D6" t="s">
        <v>347</v>
      </c>
      <c r="E6" t="s">
        <v>348</v>
      </c>
      <c r="F6" t="s">
        <v>217</v>
      </c>
    </row>
    <row r="7" spans="1:6" ht="34.9" customHeight="1" x14ac:dyDescent="0.25">
      <c r="A7" t="s">
        <v>371</v>
      </c>
      <c r="B7">
        <v>25</v>
      </c>
      <c r="C7" t="s">
        <v>539</v>
      </c>
      <c r="D7" t="s">
        <v>540</v>
      </c>
      <c r="E7" t="s">
        <v>541</v>
      </c>
      <c r="F7">
        <v>1</v>
      </c>
    </row>
    <row r="8" spans="1:6" ht="21" customHeight="1" x14ac:dyDescent="0.25">
      <c r="A8" t="s">
        <v>375</v>
      </c>
      <c r="B8">
        <v>156</v>
      </c>
      <c r="C8" t="s">
        <v>542</v>
      </c>
      <c r="D8" t="s">
        <v>117</v>
      </c>
      <c r="F8">
        <v>1</v>
      </c>
    </row>
    <row r="9" spans="1:6" x14ac:dyDescent="0.25">
      <c r="A9" t="s">
        <v>379</v>
      </c>
      <c r="B9">
        <v>168</v>
      </c>
      <c r="C9" t="s">
        <v>543</v>
      </c>
      <c r="D9" t="s">
        <v>544</v>
      </c>
      <c r="E9" t="s">
        <v>545</v>
      </c>
      <c r="F9">
        <v>1</v>
      </c>
    </row>
    <row r="10" spans="1:6" ht="31.9" customHeight="1" x14ac:dyDescent="0.25">
      <c r="A10" s="3" t="s">
        <v>380</v>
      </c>
      <c r="B10">
        <v>173</v>
      </c>
      <c r="C10" t="s">
        <v>546</v>
      </c>
      <c r="D10" t="s">
        <v>547</v>
      </c>
      <c r="E10" t="s">
        <v>548</v>
      </c>
      <c r="F10">
        <v>1</v>
      </c>
    </row>
    <row r="11" spans="1:6" ht="22.15" customHeight="1" x14ac:dyDescent="0.25">
      <c r="A11" t="s">
        <v>431</v>
      </c>
      <c r="B11">
        <v>213</v>
      </c>
      <c r="C11" t="s">
        <v>549</v>
      </c>
      <c r="D11" t="s">
        <v>550</v>
      </c>
      <c r="E11" t="s">
        <v>551</v>
      </c>
      <c r="F11">
        <v>1</v>
      </c>
    </row>
    <row r="12" spans="1:6" x14ac:dyDescent="0.25">
      <c r="A12" t="s">
        <v>443</v>
      </c>
      <c r="B12">
        <v>216</v>
      </c>
      <c r="C12" t="s">
        <v>552</v>
      </c>
      <c r="D12" t="s">
        <v>393</v>
      </c>
      <c r="F12">
        <v>1</v>
      </c>
    </row>
    <row r="13" spans="1:6" x14ac:dyDescent="0.25">
      <c r="A13" t="s">
        <v>447</v>
      </c>
      <c r="B13">
        <v>220</v>
      </c>
      <c r="C13" t="s">
        <v>553</v>
      </c>
      <c r="D13" t="s">
        <v>554</v>
      </c>
      <c r="E13" t="s">
        <v>555</v>
      </c>
      <c r="F13">
        <v>1</v>
      </c>
    </row>
    <row r="16" spans="1:6" ht="16.149999999999999" customHeight="1" x14ac:dyDescent="0.25">
      <c r="B16" t="s">
        <v>238</v>
      </c>
    </row>
    <row r="17" spans="2:5" x14ac:dyDescent="0.25">
      <c r="B17" t="s">
        <v>213</v>
      </c>
      <c r="C17" t="s">
        <v>346</v>
      </c>
      <c r="D17" t="s">
        <v>347</v>
      </c>
      <c r="E17" t="s">
        <v>348</v>
      </c>
    </row>
    <row r="18" spans="2:5" x14ac:dyDescent="0.25">
      <c r="B18">
        <v>22</v>
      </c>
      <c r="C18" t="s">
        <v>556</v>
      </c>
      <c r="D18" t="s">
        <v>557</v>
      </c>
      <c r="E18" t="s">
        <v>558</v>
      </c>
    </row>
  </sheetData>
  <pageMargins left="0.7" right="0.7" top="0.75" bottom="0.75" header="0.3" footer="0.3"/>
  <ignoredErrors>
    <ignoredError sqref="A1:F2 A4:F18 A3:B3 D3:F3"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31"/>
  <sheetViews>
    <sheetView workbookViewId="0">
      <selection activeCell="D34" sqref="D34"/>
    </sheetView>
  </sheetViews>
  <sheetFormatPr defaultRowHeight="15.75" x14ac:dyDescent="0.25"/>
  <cols>
    <col min="1" max="1" width="13" customWidth="1"/>
    <col min="2" max="2" width="15.75" customWidth="1"/>
    <col min="3" max="3" width="76.875" style="5" customWidth="1"/>
    <col min="4" max="4" width="30.25" bestFit="1" customWidth="1"/>
    <col min="5" max="5" width="48.625" style="5" customWidth="1"/>
    <col min="6" max="6" width="12.625" bestFit="1" customWidth="1"/>
    <col min="8" max="8" width="29.25" customWidth="1"/>
    <col min="9" max="9" width="20.125" customWidth="1"/>
  </cols>
  <sheetData>
    <row r="1" spans="1:8" x14ac:dyDescent="0.25">
      <c r="A1" t="s">
        <v>476</v>
      </c>
      <c r="B1" t="s">
        <v>207</v>
      </c>
      <c r="C1" s="5" t="s">
        <v>982</v>
      </c>
    </row>
    <row r="2" spans="1:8" x14ac:dyDescent="0.25">
      <c r="B2" t="s">
        <v>209</v>
      </c>
      <c r="C2" s="5" t="s">
        <v>559</v>
      </c>
    </row>
    <row r="3" spans="1:8" x14ac:dyDescent="0.25">
      <c r="A3" s="2">
        <v>46301</v>
      </c>
      <c r="B3" t="s">
        <v>211</v>
      </c>
      <c r="C3" s="5" t="s">
        <v>125</v>
      </c>
    </row>
    <row r="5" spans="1:8" x14ac:dyDescent="0.25">
      <c r="B5" t="s">
        <v>212</v>
      </c>
    </row>
    <row r="6" spans="1:8" x14ac:dyDescent="0.25">
      <c r="A6" t="s">
        <v>11</v>
      </c>
      <c r="B6" t="s">
        <v>213</v>
      </c>
      <c r="C6" s="5" t="s">
        <v>346</v>
      </c>
      <c r="D6" t="s">
        <v>347</v>
      </c>
      <c r="E6" s="5" t="s">
        <v>348</v>
      </c>
      <c r="F6" t="s">
        <v>217</v>
      </c>
    </row>
    <row r="7" spans="1:8" ht="31.5" x14ac:dyDescent="0.25">
      <c r="A7" t="s">
        <v>265</v>
      </c>
      <c r="B7">
        <v>82</v>
      </c>
      <c r="C7" s="5" t="s">
        <v>560</v>
      </c>
      <c r="D7" t="s">
        <v>561</v>
      </c>
      <c r="E7" s="5" t="s">
        <v>571</v>
      </c>
      <c r="F7">
        <v>1</v>
      </c>
      <c r="H7" t="str">
        <f>PROPER(I7)</f>
        <v/>
      </c>
    </row>
    <row r="8" spans="1:8" ht="31.5" x14ac:dyDescent="0.25">
      <c r="A8" t="s">
        <v>268</v>
      </c>
      <c r="B8">
        <v>229</v>
      </c>
      <c r="C8" s="5" t="s">
        <v>564</v>
      </c>
      <c r="D8" t="s">
        <v>565</v>
      </c>
      <c r="E8" s="5" t="s">
        <v>954</v>
      </c>
      <c r="F8">
        <v>1</v>
      </c>
    </row>
    <row r="9" spans="1:8" ht="31.5" x14ac:dyDescent="0.25">
      <c r="A9" t="s">
        <v>271</v>
      </c>
      <c r="B9">
        <v>46</v>
      </c>
      <c r="C9" s="5" t="s">
        <v>566</v>
      </c>
      <c r="D9" t="s">
        <v>567</v>
      </c>
      <c r="E9" s="5" t="s">
        <v>568</v>
      </c>
      <c r="F9">
        <v>1</v>
      </c>
    </row>
    <row r="10" spans="1:8" x14ac:dyDescent="0.25">
      <c r="A10" t="s">
        <v>275</v>
      </c>
      <c r="B10">
        <v>12</v>
      </c>
      <c r="C10" s="5" t="s">
        <v>569</v>
      </c>
      <c r="D10" t="s">
        <v>570</v>
      </c>
      <c r="E10" s="5" t="s">
        <v>582</v>
      </c>
      <c r="F10">
        <v>1</v>
      </c>
    </row>
    <row r="11" spans="1:8" ht="47.25" x14ac:dyDescent="0.25">
      <c r="A11" t="s">
        <v>279</v>
      </c>
      <c r="B11">
        <v>270</v>
      </c>
      <c r="C11" s="5" t="s">
        <v>572</v>
      </c>
      <c r="D11" t="s">
        <v>950</v>
      </c>
      <c r="E11" s="5" t="s">
        <v>955</v>
      </c>
      <c r="F11">
        <v>1</v>
      </c>
    </row>
    <row r="12" spans="1:8" ht="31.5" x14ac:dyDescent="0.25">
      <c r="A12" t="s">
        <v>282</v>
      </c>
      <c r="B12">
        <v>62</v>
      </c>
      <c r="C12" s="5" t="s">
        <v>574</v>
      </c>
      <c r="D12" t="s">
        <v>575</v>
      </c>
      <c r="E12" s="5" t="s">
        <v>953</v>
      </c>
      <c r="F12">
        <v>1</v>
      </c>
    </row>
    <row r="13" spans="1:8" ht="31.5" x14ac:dyDescent="0.25">
      <c r="A13" t="s">
        <v>286</v>
      </c>
      <c r="B13">
        <v>230</v>
      </c>
      <c r="C13" s="5" t="s">
        <v>576</v>
      </c>
      <c r="D13" t="s">
        <v>565</v>
      </c>
      <c r="E13" s="5" t="s">
        <v>577</v>
      </c>
      <c r="F13">
        <v>1</v>
      </c>
    </row>
    <row r="14" spans="1:8" ht="31.5" x14ac:dyDescent="0.25">
      <c r="A14" t="s">
        <v>371</v>
      </c>
      <c r="B14">
        <v>167</v>
      </c>
      <c r="C14" s="5" t="s">
        <v>578</v>
      </c>
      <c r="D14" t="s">
        <v>579</v>
      </c>
      <c r="E14" s="5" t="s">
        <v>956</v>
      </c>
      <c r="F14">
        <v>2</v>
      </c>
    </row>
    <row r="15" spans="1:8" ht="31.5" x14ac:dyDescent="0.25">
      <c r="A15" t="s">
        <v>375</v>
      </c>
      <c r="B15">
        <v>169</v>
      </c>
      <c r="C15" s="5" t="s">
        <v>580</v>
      </c>
      <c r="D15" t="s">
        <v>581</v>
      </c>
      <c r="E15" s="5" t="s">
        <v>957</v>
      </c>
      <c r="F15">
        <v>2</v>
      </c>
    </row>
    <row r="16" spans="1:8" ht="78.75" x14ac:dyDescent="0.25">
      <c r="A16" t="s">
        <v>379</v>
      </c>
      <c r="B16">
        <v>1058</v>
      </c>
      <c r="C16" s="5" t="s">
        <v>583</v>
      </c>
      <c r="D16" t="s">
        <v>584</v>
      </c>
      <c r="E16" s="5" t="s">
        <v>958</v>
      </c>
      <c r="F16">
        <v>2</v>
      </c>
    </row>
    <row r="17" spans="1:6" ht="31.5" x14ac:dyDescent="0.25">
      <c r="A17" t="s">
        <v>380</v>
      </c>
      <c r="B17">
        <v>16</v>
      </c>
      <c r="C17" s="5" t="s">
        <v>585</v>
      </c>
      <c r="D17" t="s">
        <v>586</v>
      </c>
      <c r="F17">
        <v>2</v>
      </c>
    </row>
    <row r="22" spans="1:6" x14ac:dyDescent="0.25">
      <c r="B22" t="s">
        <v>238</v>
      </c>
    </row>
    <row r="23" spans="1:6" x14ac:dyDescent="0.25">
      <c r="B23" t="s">
        <v>213</v>
      </c>
      <c r="C23" s="5" t="s">
        <v>346</v>
      </c>
      <c r="D23" t="s">
        <v>347</v>
      </c>
      <c r="E23" s="5" t="s">
        <v>348</v>
      </c>
    </row>
    <row r="24" spans="1:6" ht="31.5" x14ac:dyDescent="0.25">
      <c r="B24">
        <v>50</v>
      </c>
      <c r="C24" s="5" t="s">
        <v>587</v>
      </c>
      <c r="D24" t="s">
        <v>588</v>
      </c>
      <c r="E24" s="5" t="s">
        <v>589</v>
      </c>
    </row>
    <row r="25" spans="1:6" ht="47.25" x14ac:dyDescent="0.25">
      <c r="B25">
        <v>85</v>
      </c>
      <c r="C25" s="5" t="s">
        <v>590</v>
      </c>
      <c r="D25" t="s">
        <v>591</v>
      </c>
      <c r="E25" s="5" t="s">
        <v>592</v>
      </c>
    </row>
    <row r="26" spans="1:6" ht="31.5" x14ac:dyDescent="0.25">
      <c r="B26">
        <v>96</v>
      </c>
      <c r="C26" s="5" t="s">
        <v>593</v>
      </c>
      <c r="D26" t="s">
        <v>594</v>
      </c>
      <c r="E26" s="5" t="s">
        <v>595</v>
      </c>
    </row>
    <row r="27" spans="1:6" ht="31.5" x14ac:dyDescent="0.25">
      <c r="B27">
        <v>144</v>
      </c>
      <c r="C27" s="5" t="s">
        <v>596</v>
      </c>
      <c r="D27" t="s">
        <v>597</v>
      </c>
      <c r="E27" s="5" t="s">
        <v>598</v>
      </c>
    </row>
    <row r="28" spans="1:6" ht="31.5" x14ac:dyDescent="0.25">
      <c r="B28">
        <v>145</v>
      </c>
      <c r="C28" s="5" t="s">
        <v>599</v>
      </c>
      <c r="D28" t="s">
        <v>597</v>
      </c>
      <c r="E28" s="5" t="s">
        <v>600</v>
      </c>
    </row>
    <row r="29" spans="1:6" ht="47.25" x14ac:dyDescent="0.25">
      <c r="B29">
        <v>165</v>
      </c>
      <c r="C29" s="5" t="s">
        <v>601</v>
      </c>
      <c r="D29" t="s">
        <v>602</v>
      </c>
      <c r="E29" s="5" t="s">
        <v>603</v>
      </c>
    </row>
    <row r="30" spans="1:6" ht="47.25" x14ac:dyDescent="0.25">
      <c r="B30">
        <v>187</v>
      </c>
      <c r="C30" s="5" t="s">
        <v>604</v>
      </c>
      <c r="D30" t="s">
        <v>605</v>
      </c>
      <c r="E30" s="5" t="s">
        <v>606</v>
      </c>
    </row>
    <row r="31" spans="1:6" ht="31.5" x14ac:dyDescent="0.25">
      <c r="B31">
        <v>139</v>
      </c>
      <c r="C31" s="5" t="s">
        <v>562</v>
      </c>
      <c r="D31" t="s">
        <v>563</v>
      </c>
      <c r="E31" s="5" t="s">
        <v>573</v>
      </c>
    </row>
  </sheetData>
  <pageMargins left="0.7" right="0.7" top="0.75" bottom="0.75" header="0.3" footer="0.3"/>
  <ignoredErrors>
    <ignoredError sqref="A2:B2 A19:I30 A10 G8:I8 A14:D14 G14:I14 A15:D15 G15:I15 A16:D16 G16:I16 A17:E17 G17:I17 A12 A13 A7:D7 F7:I7 A8 A9 A11 A1:B1 D1:I1 A4:I6 A3:B3 D3:I3 D2:I2 G10:I13 H9:I9"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7"/>
  <sheetViews>
    <sheetView topLeftCell="C1" zoomScale="85" zoomScaleNormal="85" workbookViewId="0">
      <selection activeCell="F17" sqref="F17"/>
    </sheetView>
  </sheetViews>
  <sheetFormatPr defaultRowHeight="15.75" x14ac:dyDescent="0.25"/>
  <cols>
    <col min="1" max="1" width="14" customWidth="1"/>
    <col min="2" max="2" width="17.25" customWidth="1"/>
    <col min="3" max="3" width="189.375" customWidth="1"/>
    <col min="4" max="4" width="16.75" customWidth="1"/>
    <col min="5" max="5" width="41.375" customWidth="1"/>
    <col min="6" max="6" width="31.75" customWidth="1"/>
    <col min="7" max="7" width="80" customWidth="1"/>
    <col min="8" max="8" width="8.75" customWidth="1"/>
  </cols>
  <sheetData>
    <row r="1" spans="1:8" x14ac:dyDescent="0.25">
      <c r="B1" t="s">
        <v>207</v>
      </c>
      <c r="C1" t="s">
        <v>607</v>
      </c>
    </row>
    <row r="2" spans="1:8" ht="19.899999999999999" customHeight="1" x14ac:dyDescent="0.25">
      <c r="B2" t="s">
        <v>209</v>
      </c>
      <c r="C2" t="s">
        <v>608</v>
      </c>
    </row>
    <row r="3" spans="1:8" x14ac:dyDescent="0.25">
      <c r="A3" s="2">
        <v>46300</v>
      </c>
      <c r="B3" t="s">
        <v>211</v>
      </c>
      <c r="C3" t="s">
        <v>125</v>
      </c>
    </row>
    <row r="5" spans="1:8" x14ac:dyDescent="0.25">
      <c r="B5" t="s">
        <v>212</v>
      </c>
    </row>
    <row r="6" spans="1:8" x14ac:dyDescent="0.25">
      <c r="A6" t="s">
        <v>11</v>
      </c>
      <c r="B6" t="s">
        <v>213</v>
      </c>
      <c r="C6" t="s">
        <v>346</v>
      </c>
      <c r="D6" t="s">
        <v>609</v>
      </c>
      <c r="E6" t="s">
        <v>610</v>
      </c>
      <c r="F6" t="s">
        <v>347</v>
      </c>
      <c r="G6" t="s">
        <v>348</v>
      </c>
      <c r="H6" t="s">
        <v>217</v>
      </c>
    </row>
    <row r="7" spans="1:8" x14ac:dyDescent="0.25">
      <c r="A7" t="s">
        <v>265</v>
      </c>
      <c r="B7">
        <v>181</v>
      </c>
      <c r="C7" t="s">
        <v>611</v>
      </c>
      <c r="D7" t="s">
        <v>612</v>
      </c>
      <c r="E7" t="s">
        <v>207</v>
      </c>
      <c r="F7" t="s">
        <v>314</v>
      </c>
      <c r="G7" t="s">
        <v>613</v>
      </c>
      <c r="H7">
        <v>1</v>
      </c>
    </row>
    <row r="8" spans="1:8" x14ac:dyDescent="0.25">
      <c r="A8" t="s">
        <v>268</v>
      </c>
      <c r="B8">
        <v>184</v>
      </c>
      <c r="C8" t="s">
        <v>614</v>
      </c>
      <c r="D8" t="s">
        <v>612</v>
      </c>
      <c r="E8" t="s">
        <v>207</v>
      </c>
      <c r="F8" t="s">
        <v>615</v>
      </c>
      <c r="G8" t="s">
        <v>616</v>
      </c>
      <c r="H8">
        <v>1</v>
      </c>
    </row>
    <row r="9" spans="1:8" ht="34.9" customHeight="1" x14ac:dyDescent="0.25">
      <c r="A9" t="s">
        <v>271</v>
      </c>
      <c r="B9">
        <v>1056</v>
      </c>
      <c r="C9" t="s">
        <v>617</v>
      </c>
      <c r="D9" t="s">
        <v>618</v>
      </c>
      <c r="E9" t="s">
        <v>207</v>
      </c>
      <c r="F9" t="s">
        <v>619</v>
      </c>
      <c r="G9" s="5" t="s">
        <v>969</v>
      </c>
      <c r="H9">
        <v>1</v>
      </c>
    </row>
    <row r="10" spans="1:8" ht="57.6" customHeight="1" x14ac:dyDescent="0.25">
      <c r="A10" t="s">
        <v>275</v>
      </c>
      <c r="B10">
        <v>1057</v>
      </c>
      <c r="C10" t="s">
        <v>620</v>
      </c>
      <c r="D10" t="s">
        <v>618</v>
      </c>
      <c r="E10" t="s">
        <v>207</v>
      </c>
      <c r="F10" t="s">
        <v>621</v>
      </c>
      <c r="G10" t="s">
        <v>622</v>
      </c>
      <c r="H10">
        <v>1</v>
      </c>
    </row>
    <row r="11" spans="1:8" x14ac:dyDescent="0.25">
      <c r="A11" t="s">
        <v>279</v>
      </c>
      <c r="B11">
        <v>1066</v>
      </c>
      <c r="C11" t="s">
        <v>623</v>
      </c>
      <c r="D11" t="s">
        <v>618</v>
      </c>
      <c r="E11" t="s">
        <v>207</v>
      </c>
      <c r="F11" t="s">
        <v>270</v>
      </c>
      <c r="G11" t="s">
        <v>624</v>
      </c>
      <c r="H11">
        <v>1</v>
      </c>
    </row>
    <row r="12" spans="1:8" x14ac:dyDescent="0.25">
      <c r="A12" t="s">
        <v>282</v>
      </c>
      <c r="B12">
        <v>42</v>
      </c>
      <c r="C12" t="s">
        <v>625</v>
      </c>
      <c r="D12" t="s">
        <v>612</v>
      </c>
      <c r="E12" t="s">
        <v>207</v>
      </c>
      <c r="F12" t="s">
        <v>626</v>
      </c>
      <c r="G12" t="s">
        <v>627</v>
      </c>
      <c r="H12">
        <v>1</v>
      </c>
    </row>
    <row r="13" spans="1:8" x14ac:dyDescent="0.25">
      <c r="A13" t="s">
        <v>286</v>
      </c>
      <c r="B13">
        <v>209</v>
      </c>
      <c r="C13" t="s">
        <v>628</v>
      </c>
      <c r="D13" t="s">
        <v>612</v>
      </c>
      <c r="E13" t="s">
        <v>207</v>
      </c>
      <c r="F13" t="s">
        <v>629</v>
      </c>
      <c r="G13" t="s">
        <v>630</v>
      </c>
      <c r="H13">
        <v>1</v>
      </c>
    </row>
    <row r="14" spans="1:8" x14ac:dyDescent="0.25">
      <c r="A14" t="s">
        <v>371</v>
      </c>
      <c r="B14">
        <v>74</v>
      </c>
      <c r="C14" t="s">
        <v>631</v>
      </c>
      <c r="D14" t="s">
        <v>612</v>
      </c>
      <c r="E14" t="s">
        <v>207</v>
      </c>
      <c r="F14" t="s">
        <v>632</v>
      </c>
      <c r="G14" t="s">
        <v>632</v>
      </c>
      <c r="H14">
        <v>2</v>
      </c>
    </row>
    <row r="15" spans="1:8" x14ac:dyDescent="0.25">
      <c r="A15" t="s">
        <v>375</v>
      </c>
      <c r="B15">
        <v>175</v>
      </c>
      <c r="C15" t="s">
        <v>633</v>
      </c>
      <c r="D15" t="s">
        <v>612</v>
      </c>
      <c r="E15" t="s">
        <v>207</v>
      </c>
      <c r="F15" t="s">
        <v>634</v>
      </c>
      <c r="G15" t="s">
        <v>635</v>
      </c>
      <c r="H15">
        <v>2</v>
      </c>
    </row>
    <row r="16" spans="1:8" x14ac:dyDescent="0.25">
      <c r="A16" t="s">
        <v>379</v>
      </c>
      <c r="B16">
        <v>269</v>
      </c>
      <c r="C16" t="s">
        <v>636</v>
      </c>
      <c r="D16" t="s">
        <v>612</v>
      </c>
      <c r="E16" t="s">
        <v>207</v>
      </c>
      <c r="F16" t="s">
        <v>978</v>
      </c>
      <c r="H16">
        <v>2</v>
      </c>
    </row>
    <row r="17" spans="1:8" x14ac:dyDescent="0.25">
      <c r="A17" t="s">
        <v>380</v>
      </c>
      <c r="B17">
        <v>203</v>
      </c>
      <c r="C17" t="s">
        <v>1005</v>
      </c>
      <c r="D17" t="s">
        <v>612</v>
      </c>
      <c r="E17" t="s">
        <v>207</v>
      </c>
      <c r="F17" t="s">
        <v>1006</v>
      </c>
      <c r="G17" t="s">
        <v>1007</v>
      </c>
      <c r="H17">
        <v>2</v>
      </c>
    </row>
    <row r="18" spans="1:8" x14ac:dyDescent="0.25">
      <c r="A18" t="s">
        <v>431</v>
      </c>
      <c r="B18">
        <v>58</v>
      </c>
      <c r="C18" t="s">
        <v>637</v>
      </c>
      <c r="D18" t="s">
        <v>612</v>
      </c>
      <c r="E18" t="s">
        <v>207</v>
      </c>
      <c r="F18" t="s">
        <v>638</v>
      </c>
      <c r="G18" t="s">
        <v>386</v>
      </c>
      <c r="H18">
        <v>2</v>
      </c>
    </row>
    <row r="19" spans="1:8" ht="28.9" customHeight="1" x14ac:dyDescent="0.25">
      <c r="A19" t="s">
        <v>443</v>
      </c>
      <c r="B19">
        <v>164</v>
      </c>
      <c r="C19" t="s">
        <v>639</v>
      </c>
      <c r="D19" t="s">
        <v>612</v>
      </c>
      <c r="E19" t="s">
        <v>207</v>
      </c>
      <c r="F19" t="s">
        <v>640</v>
      </c>
      <c r="G19" t="s">
        <v>641</v>
      </c>
      <c r="H19">
        <v>2</v>
      </c>
    </row>
    <row r="20" spans="1:8" x14ac:dyDescent="0.25">
      <c r="A20" t="s">
        <v>937</v>
      </c>
      <c r="C20" t="s">
        <v>938</v>
      </c>
    </row>
    <row r="24" spans="1:8" x14ac:dyDescent="0.25">
      <c r="B24" t="s">
        <v>238</v>
      </c>
    </row>
    <row r="25" spans="1:8" x14ac:dyDescent="0.25">
      <c r="B25" t="s">
        <v>213</v>
      </c>
      <c r="C25" t="s">
        <v>346</v>
      </c>
      <c r="D25" t="s">
        <v>609</v>
      </c>
      <c r="E25" t="s">
        <v>610</v>
      </c>
      <c r="F25" t="s">
        <v>347</v>
      </c>
      <c r="G25" t="s">
        <v>348</v>
      </c>
    </row>
    <row r="26" spans="1:8" x14ac:dyDescent="0.25">
      <c r="B26">
        <v>40</v>
      </c>
      <c r="C26" t="s">
        <v>644</v>
      </c>
      <c r="D26" t="s">
        <v>238</v>
      </c>
      <c r="E26" t="s">
        <v>238</v>
      </c>
      <c r="F26" t="s">
        <v>645</v>
      </c>
      <c r="G26" t="s">
        <v>646</v>
      </c>
    </row>
    <row r="27" spans="1:8" x14ac:dyDescent="0.25">
      <c r="B27">
        <v>53</v>
      </c>
      <c r="C27" t="s">
        <v>647</v>
      </c>
      <c r="D27" t="s">
        <v>612</v>
      </c>
      <c r="E27" t="s">
        <v>238</v>
      </c>
      <c r="F27" t="s">
        <v>648</v>
      </c>
      <c r="G27" t="s">
        <v>649</v>
      </c>
    </row>
  </sheetData>
  <pageMargins left="0.7" right="0.7" top="0.75" bottom="0.75" header="0.3" footer="0.3"/>
  <ignoredErrors>
    <ignoredError sqref="A1:H8 A21:H27 B20 D20:H20 B15:H15 B14:E14 G14 A10:H13 A9:F9 H9 B18:H19 B16:E16 G16:H16"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F21"/>
  <sheetViews>
    <sheetView workbookViewId="0">
      <selection activeCell="C3" sqref="C3"/>
    </sheetView>
  </sheetViews>
  <sheetFormatPr defaultRowHeight="15.75" x14ac:dyDescent="0.25"/>
  <cols>
    <col min="2" max="2" width="17.375" customWidth="1"/>
    <col min="3" max="3" width="155.625" customWidth="1"/>
    <col min="4" max="4" width="17.75" customWidth="1"/>
    <col min="5" max="5" width="51.75" customWidth="1"/>
    <col min="6" max="6" width="8.625" customWidth="1"/>
  </cols>
  <sheetData>
    <row r="1" spans="1:6" x14ac:dyDescent="0.25">
      <c r="B1" t="s">
        <v>207</v>
      </c>
      <c r="C1" t="s">
        <v>650</v>
      </c>
    </row>
    <row r="2" spans="1:6" x14ac:dyDescent="0.25">
      <c r="B2" t="s">
        <v>209</v>
      </c>
      <c r="C2" t="s">
        <v>651</v>
      </c>
    </row>
    <row r="3" spans="1:6" x14ac:dyDescent="0.25">
      <c r="A3" s="2">
        <v>46300</v>
      </c>
      <c r="B3" t="s">
        <v>211</v>
      </c>
      <c r="C3" t="s">
        <v>996</v>
      </c>
    </row>
    <row r="5" spans="1:6" x14ac:dyDescent="0.25">
      <c r="B5" t="s">
        <v>212</v>
      </c>
    </row>
    <row r="6" spans="1:6" x14ac:dyDescent="0.25">
      <c r="A6" t="s">
        <v>11</v>
      </c>
      <c r="B6" t="s">
        <v>213</v>
      </c>
      <c r="C6" t="s">
        <v>346</v>
      </c>
      <c r="D6" t="s">
        <v>347</v>
      </c>
      <c r="E6" t="s">
        <v>348</v>
      </c>
      <c r="F6" t="s">
        <v>217</v>
      </c>
    </row>
    <row r="7" spans="1:6" ht="28.9" customHeight="1" x14ac:dyDescent="0.25">
      <c r="A7" s="3">
        <v>0.58333333333333337</v>
      </c>
      <c r="B7">
        <v>103</v>
      </c>
      <c r="C7" t="s">
        <v>652</v>
      </c>
      <c r="D7" t="s">
        <v>452</v>
      </c>
      <c r="E7" t="s">
        <v>653</v>
      </c>
      <c r="F7">
        <v>1</v>
      </c>
    </row>
    <row r="8" spans="1:6" x14ac:dyDescent="0.25">
      <c r="A8" s="3">
        <v>0.59375</v>
      </c>
      <c r="B8">
        <v>79</v>
      </c>
      <c r="C8" t="s">
        <v>654</v>
      </c>
      <c r="D8" t="s">
        <v>655</v>
      </c>
      <c r="E8" t="s">
        <v>656</v>
      </c>
      <c r="F8">
        <v>1</v>
      </c>
    </row>
    <row r="9" spans="1:6" x14ac:dyDescent="0.25">
      <c r="A9" s="3">
        <v>0.60416666666666663</v>
      </c>
      <c r="B9">
        <v>160</v>
      </c>
      <c r="C9" t="s">
        <v>657</v>
      </c>
      <c r="D9" t="s">
        <v>658</v>
      </c>
      <c r="E9" t="s">
        <v>659</v>
      </c>
      <c r="F9">
        <v>1</v>
      </c>
    </row>
    <row r="10" spans="1:6" x14ac:dyDescent="0.25">
      <c r="A10" s="3">
        <v>0.61458333333333337</v>
      </c>
      <c r="B10">
        <v>136</v>
      </c>
      <c r="C10" t="s">
        <v>660</v>
      </c>
      <c r="D10" t="s">
        <v>661</v>
      </c>
      <c r="E10" t="s">
        <v>662</v>
      </c>
      <c r="F10">
        <v>1</v>
      </c>
    </row>
    <row r="11" spans="1:6" x14ac:dyDescent="0.25">
      <c r="A11" s="3">
        <v>0.625</v>
      </c>
      <c r="B11">
        <v>61</v>
      </c>
      <c r="C11" t="s">
        <v>663</v>
      </c>
      <c r="D11" t="s">
        <v>664</v>
      </c>
      <c r="F11">
        <v>1</v>
      </c>
    </row>
    <row r="12" spans="1:6" ht="28.9" customHeight="1" x14ac:dyDescent="0.25">
      <c r="A12" s="3"/>
    </row>
    <row r="13" spans="1:6" ht="16.149999999999999" customHeight="1" x14ac:dyDescent="0.25">
      <c r="A13" s="3"/>
    </row>
    <row r="18" spans="2:5" x14ac:dyDescent="0.25">
      <c r="B18" t="s">
        <v>238</v>
      </c>
    </row>
    <row r="19" spans="2:5" x14ac:dyDescent="0.25">
      <c r="B19" t="s">
        <v>213</v>
      </c>
      <c r="C19" t="s">
        <v>346</v>
      </c>
      <c r="D19" t="s">
        <v>347</v>
      </c>
      <c r="E19" t="s">
        <v>348</v>
      </c>
    </row>
    <row r="20" spans="2:5" x14ac:dyDescent="0.25">
      <c r="B20">
        <v>97</v>
      </c>
      <c r="C20" t="s">
        <v>665</v>
      </c>
      <c r="D20" t="s">
        <v>666</v>
      </c>
      <c r="E20" t="s">
        <v>667</v>
      </c>
    </row>
    <row r="21" spans="2:5" x14ac:dyDescent="0.25">
      <c r="B21">
        <v>176</v>
      </c>
      <c r="C21" t="s">
        <v>668</v>
      </c>
      <c r="D21" t="s">
        <v>669</v>
      </c>
      <c r="E21" t="s">
        <v>670</v>
      </c>
    </row>
  </sheetData>
  <pageMargins left="0.7" right="0.7" top="0.75" bottom="0.75" header="0.3" footer="0.3"/>
  <ignoredErrors>
    <ignoredError sqref="A1:F2 A14:F21 A4:F11 A3:B3 D3:F3"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F14"/>
  <sheetViews>
    <sheetView workbookViewId="0">
      <selection activeCell="C3" sqref="C3"/>
    </sheetView>
  </sheetViews>
  <sheetFormatPr defaultRowHeight="15.75" x14ac:dyDescent="0.25"/>
  <cols>
    <col min="1" max="1" width="10.5" bestFit="1" customWidth="1"/>
    <col min="2" max="2" width="16.75" customWidth="1"/>
    <col min="3" max="3" width="121.125" customWidth="1"/>
    <col min="4" max="4" width="24.25" customWidth="1"/>
    <col min="5" max="5" width="45.25" customWidth="1"/>
    <col min="6" max="6" width="8.625" customWidth="1"/>
  </cols>
  <sheetData>
    <row r="1" spans="1:6" x14ac:dyDescent="0.25">
      <c r="B1" t="s">
        <v>207</v>
      </c>
      <c r="C1" t="s">
        <v>988</v>
      </c>
    </row>
    <row r="2" spans="1:6" x14ac:dyDescent="0.25">
      <c r="B2" t="s">
        <v>209</v>
      </c>
      <c r="C2" t="s">
        <v>671</v>
      </c>
    </row>
    <row r="3" spans="1:6" x14ac:dyDescent="0.25">
      <c r="A3" s="2">
        <v>46303</v>
      </c>
      <c r="B3" t="s">
        <v>211</v>
      </c>
      <c r="C3" t="s">
        <v>995</v>
      </c>
    </row>
    <row r="5" spans="1:6" x14ac:dyDescent="0.25">
      <c r="B5" t="s">
        <v>212</v>
      </c>
    </row>
    <row r="6" spans="1:6" x14ac:dyDescent="0.25">
      <c r="A6" t="s">
        <v>11</v>
      </c>
      <c r="B6" t="s">
        <v>213</v>
      </c>
      <c r="C6" t="s">
        <v>346</v>
      </c>
      <c r="D6" t="s">
        <v>347</v>
      </c>
      <c r="E6" t="s">
        <v>348</v>
      </c>
      <c r="F6" t="s">
        <v>217</v>
      </c>
    </row>
    <row r="7" spans="1:6" x14ac:dyDescent="0.25">
      <c r="A7" t="s">
        <v>380</v>
      </c>
      <c r="B7" t="s">
        <v>390</v>
      </c>
      <c r="C7" t="s">
        <v>672</v>
      </c>
      <c r="D7" t="s">
        <v>673</v>
      </c>
      <c r="F7">
        <v>1</v>
      </c>
    </row>
    <row r="8" spans="1:6" x14ac:dyDescent="0.25">
      <c r="A8" t="s">
        <v>431</v>
      </c>
      <c r="B8">
        <v>155</v>
      </c>
      <c r="C8" t="s">
        <v>674</v>
      </c>
      <c r="D8" t="s">
        <v>314</v>
      </c>
      <c r="F8">
        <v>1</v>
      </c>
    </row>
    <row r="9" spans="1:6" x14ac:dyDescent="0.25">
      <c r="A9" t="s">
        <v>443</v>
      </c>
      <c r="B9">
        <v>215</v>
      </c>
      <c r="C9" t="s">
        <v>675</v>
      </c>
      <c r="D9" t="s">
        <v>676</v>
      </c>
      <c r="E9" t="s">
        <v>677</v>
      </c>
      <c r="F9">
        <v>1</v>
      </c>
    </row>
    <row r="10" spans="1:6" x14ac:dyDescent="0.25">
      <c r="A10" t="s">
        <v>447</v>
      </c>
      <c r="B10">
        <v>261</v>
      </c>
      <c r="C10" t="s">
        <v>903</v>
      </c>
      <c r="D10" t="s">
        <v>621</v>
      </c>
      <c r="F10">
        <v>1</v>
      </c>
    </row>
    <row r="11" spans="1:6" x14ac:dyDescent="0.25">
      <c r="A11" t="s">
        <v>981</v>
      </c>
      <c r="B11">
        <v>152</v>
      </c>
      <c r="C11" t="s">
        <v>683</v>
      </c>
      <c r="D11" t="s">
        <v>684</v>
      </c>
      <c r="E11" t="s">
        <v>223</v>
      </c>
      <c r="F11">
        <v>1</v>
      </c>
    </row>
    <row r="12" spans="1:6" x14ac:dyDescent="0.25">
      <c r="A12" t="s">
        <v>218</v>
      </c>
      <c r="B12">
        <v>1070</v>
      </c>
      <c r="C12" t="s">
        <v>678</v>
      </c>
      <c r="D12" t="s">
        <v>679</v>
      </c>
      <c r="E12" t="s">
        <v>680</v>
      </c>
      <c r="F12">
        <v>2</v>
      </c>
    </row>
    <row r="13" spans="1:6" x14ac:dyDescent="0.25">
      <c r="A13" t="s">
        <v>220</v>
      </c>
      <c r="B13">
        <v>26</v>
      </c>
      <c r="C13" t="s">
        <v>681</v>
      </c>
      <c r="D13" t="s">
        <v>540</v>
      </c>
      <c r="E13" t="s">
        <v>682</v>
      </c>
      <c r="F13">
        <v>2</v>
      </c>
    </row>
    <row r="14" spans="1:6" x14ac:dyDescent="0.25">
      <c r="A14" t="s">
        <v>224</v>
      </c>
      <c r="B14">
        <v>98</v>
      </c>
      <c r="C14" t="s">
        <v>685</v>
      </c>
      <c r="D14" t="s">
        <v>686</v>
      </c>
      <c r="E14" t="s">
        <v>687</v>
      </c>
      <c r="F14">
        <v>2</v>
      </c>
    </row>
  </sheetData>
  <pageMargins left="0.7" right="0.7" top="0.75" bottom="0.75" header="0.3" footer="0.3"/>
  <ignoredErrors>
    <ignoredError sqref="A2:C2 D1:F5 A1:B1 A4:C6 A3:B3"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20"/>
  <sheetViews>
    <sheetView workbookViewId="0">
      <selection activeCell="C3" sqref="C3"/>
    </sheetView>
  </sheetViews>
  <sheetFormatPr defaultRowHeight="15.75" x14ac:dyDescent="0.25"/>
  <cols>
    <col min="1" max="1" width="11.25" customWidth="1"/>
    <col min="2" max="2" width="17.25" customWidth="1"/>
    <col min="3" max="3" width="109.375" customWidth="1"/>
    <col min="4" max="4" width="25" customWidth="1"/>
    <col min="5" max="5" width="66.25" customWidth="1"/>
    <col min="6" max="6" width="8.625" customWidth="1"/>
    <col min="7" max="7" width="15.75" customWidth="1"/>
    <col min="9" max="9" width="127.125" customWidth="1"/>
    <col min="10" max="10" width="28.25" customWidth="1"/>
    <col min="11" max="11" width="90.625" customWidth="1"/>
  </cols>
  <sheetData>
    <row r="1" spans="1:6" x14ac:dyDescent="0.25">
      <c r="B1" t="s">
        <v>207</v>
      </c>
      <c r="C1" t="s">
        <v>688</v>
      </c>
    </row>
    <row r="2" spans="1:6" x14ac:dyDescent="0.25">
      <c r="B2" t="s">
        <v>209</v>
      </c>
      <c r="C2" t="s">
        <v>689</v>
      </c>
    </row>
    <row r="3" spans="1:6" x14ac:dyDescent="0.25">
      <c r="A3" s="2">
        <v>46301</v>
      </c>
      <c r="B3" t="s">
        <v>211</v>
      </c>
      <c r="C3" t="s">
        <v>995</v>
      </c>
    </row>
    <row r="5" spans="1:6" x14ac:dyDescent="0.25">
      <c r="B5" t="s">
        <v>212</v>
      </c>
    </row>
    <row r="6" spans="1:6" x14ac:dyDescent="0.25">
      <c r="A6" t="s">
        <v>11</v>
      </c>
      <c r="B6" t="s">
        <v>213</v>
      </c>
      <c r="C6" t="s">
        <v>346</v>
      </c>
      <c r="D6" t="s">
        <v>347</v>
      </c>
      <c r="E6" t="s">
        <v>348</v>
      </c>
      <c r="F6" t="s">
        <v>217</v>
      </c>
    </row>
    <row r="7" spans="1:6" x14ac:dyDescent="0.25">
      <c r="A7" t="s">
        <v>371</v>
      </c>
      <c r="B7">
        <v>195</v>
      </c>
      <c r="C7" t="s">
        <v>690</v>
      </c>
      <c r="D7" t="s">
        <v>314</v>
      </c>
      <c r="F7">
        <v>1</v>
      </c>
    </row>
    <row r="8" spans="1:6" x14ac:dyDescent="0.25">
      <c r="A8" t="s">
        <v>375</v>
      </c>
      <c r="B8">
        <v>197</v>
      </c>
      <c r="C8" t="s">
        <v>691</v>
      </c>
      <c r="D8" t="s">
        <v>115</v>
      </c>
      <c r="E8" t="s">
        <v>318</v>
      </c>
      <c r="F8">
        <v>1</v>
      </c>
    </row>
    <row r="9" spans="1:6" x14ac:dyDescent="0.25">
      <c r="A9" t="s">
        <v>379</v>
      </c>
      <c r="C9" t="s">
        <v>721</v>
      </c>
      <c r="D9" t="s">
        <v>722</v>
      </c>
      <c r="F9">
        <v>1</v>
      </c>
    </row>
    <row r="10" spans="1:6" x14ac:dyDescent="0.25">
      <c r="A10" t="s">
        <v>380</v>
      </c>
      <c r="B10">
        <v>221</v>
      </c>
      <c r="C10" t="s">
        <v>692</v>
      </c>
      <c r="D10" t="s">
        <v>693</v>
      </c>
      <c r="E10" t="s">
        <v>694</v>
      </c>
      <c r="F10">
        <v>1</v>
      </c>
    </row>
    <row r="11" spans="1:6" x14ac:dyDescent="0.25">
      <c r="A11" t="s">
        <v>431</v>
      </c>
      <c r="B11">
        <v>183</v>
      </c>
      <c r="C11" t="s">
        <v>695</v>
      </c>
      <c r="D11" t="s">
        <v>696</v>
      </c>
      <c r="E11" t="s">
        <v>697</v>
      </c>
      <c r="F11">
        <v>1</v>
      </c>
    </row>
    <row r="12" spans="1:6" ht="28.15" customHeight="1" x14ac:dyDescent="0.25">
      <c r="A12" t="s">
        <v>443</v>
      </c>
      <c r="B12">
        <v>178</v>
      </c>
      <c r="C12" t="s">
        <v>698</v>
      </c>
      <c r="D12" t="s">
        <v>696</v>
      </c>
      <c r="E12" t="s">
        <v>699</v>
      </c>
      <c r="F12">
        <v>1</v>
      </c>
    </row>
    <row r="13" spans="1:6" ht="28.15" customHeight="1" x14ac:dyDescent="0.25">
      <c r="A13" t="s">
        <v>447</v>
      </c>
      <c r="B13">
        <v>109</v>
      </c>
      <c r="C13" t="s">
        <v>700</v>
      </c>
      <c r="D13" t="s">
        <v>398</v>
      </c>
      <c r="E13" t="s">
        <v>701</v>
      </c>
      <c r="F13">
        <v>1</v>
      </c>
    </row>
    <row r="14" spans="1:6" x14ac:dyDescent="0.25">
      <c r="A14" t="s">
        <v>227</v>
      </c>
      <c r="B14">
        <v>158</v>
      </c>
      <c r="C14" t="s">
        <v>702</v>
      </c>
      <c r="D14" t="s">
        <v>703</v>
      </c>
      <c r="E14" t="s">
        <v>704</v>
      </c>
      <c r="F14">
        <v>2</v>
      </c>
    </row>
    <row r="15" spans="1:6" x14ac:dyDescent="0.25">
      <c r="A15" t="s">
        <v>230</v>
      </c>
      <c r="B15">
        <v>56</v>
      </c>
      <c r="C15" t="s">
        <v>705</v>
      </c>
      <c r="D15" t="s">
        <v>706</v>
      </c>
      <c r="E15" t="s">
        <v>707</v>
      </c>
      <c r="F15">
        <v>2</v>
      </c>
    </row>
    <row r="16" spans="1:6" x14ac:dyDescent="0.25">
      <c r="A16" t="s">
        <v>234</v>
      </c>
      <c r="B16">
        <v>207</v>
      </c>
      <c r="C16" t="s">
        <v>708</v>
      </c>
      <c r="D16" t="s">
        <v>709</v>
      </c>
      <c r="E16" t="s">
        <v>710</v>
      </c>
      <c r="F16">
        <v>2</v>
      </c>
    </row>
    <row r="17" spans="1:6" x14ac:dyDescent="0.25">
      <c r="A17" t="s">
        <v>336</v>
      </c>
      <c r="B17">
        <v>226</v>
      </c>
      <c r="C17" t="s">
        <v>711</v>
      </c>
      <c r="D17" t="s">
        <v>712</v>
      </c>
      <c r="F17">
        <v>2</v>
      </c>
    </row>
    <row r="18" spans="1:6" x14ac:dyDescent="0.25">
      <c r="A18" t="s">
        <v>399</v>
      </c>
      <c r="B18">
        <v>14</v>
      </c>
      <c r="C18" t="s">
        <v>713</v>
      </c>
      <c r="D18" t="s">
        <v>714</v>
      </c>
      <c r="F18">
        <v>2</v>
      </c>
    </row>
    <row r="19" spans="1:6" x14ac:dyDescent="0.25">
      <c r="A19" t="s">
        <v>471</v>
      </c>
      <c r="B19">
        <v>200</v>
      </c>
      <c r="C19" t="s">
        <v>715</v>
      </c>
      <c r="D19" t="s">
        <v>716</v>
      </c>
      <c r="E19" t="s">
        <v>717</v>
      </c>
      <c r="F19">
        <v>2</v>
      </c>
    </row>
    <row r="20" spans="1:6" ht="15" customHeight="1" x14ac:dyDescent="0.25">
      <c r="A20" t="s">
        <v>720</v>
      </c>
      <c r="B20">
        <v>205</v>
      </c>
      <c r="C20" t="s">
        <v>718</v>
      </c>
      <c r="D20" t="s">
        <v>719</v>
      </c>
      <c r="F20">
        <v>2</v>
      </c>
    </row>
  </sheetData>
  <pageMargins left="0.7" right="0.7" top="0.75" bottom="0.75" header="0.3" footer="0.3"/>
  <ignoredErrors>
    <ignoredError sqref="B10:G13 A1:G2 B8:G8 B7:G7 B15:G20 B14:E14 G14 A4:G6 A3:B3 D3:G3"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G32"/>
  <sheetViews>
    <sheetView zoomScale="82" zoomScaleNormal="82" workbookViewId="0">
      <selection activeCell="C32" sqref="C32"/>
    </sheetView>
  </sheetViews>
  <sheetFormatPr defaultRowHeight="15.75" x14ac:dyDescent="0.25"/>
  <cols>
    <col min="1" max="1" width="14.75" customWidth="1"/>
    <col min="2" max="2" width="14.25" customWidth="1"/>
    <col min="3" max="3" width="170.625" customWidth="1"/>
    <col min="4" max="4" width="21.25" customWidth="1"/>
    <col min="5" max="5" width="24.75" customWidth="1"/>
    <col min="6" max="6" width="86.75" customWidth="1"/>
    <col min="7" max="7" width="8.625" customWidth="1"/>
  </cols>
  <sheetData>
    <row r="1" spans="1:7" x14ac:dyDescent="0.25">
      <c r="B1" t="s">
        <v>723</v>
      </c>
    </row>
    <row r="2" spans="1:7" x14ac:dyDescent="0.25">
      <c r="B2" t="s">
        <v>209</v>
      </c>
      <c r="C2" t="s">
        <v>724</v>
      </c>
    </row>
    <row r="3" spans="1:7" x14ac:dyDescent="0.25">
      <c r="A3" s="2">
        <v>46301</v>
      </c>
      <c r="B3" t="s">
        <v>211</v>
      </c>
      <c r="C3" t="s">
        <v>996</v>
      </c>
    </row>
    <row r="5" spans="1:7" x14ac:dyDescent="0.25">
      <c r="A5" t="s">
        <v>212</v>
      </c>
    </row>
    <row r="6" spans="1:7" x14ac:dyDescent="0.25">
      <c r="A6" t="s">
        <v>11</v>
      </c>
      <c r="B6" t="s">
        <v>213</v>
      </c>
      <c r="C6" t="s">
        <v>346</v>
      </c>
      <c r="D6" t="s">
        <v>725</v>
      </c>
      <c r="E6" t="s">
        <v>347</v>
      </c>
      <c r="F6" t="s">
        <v>348</v>
      </c>
      <c r="G6" t="s">
        <v>217</v>
      </c>
    </row>
    <row r="7" spans="1:7" ht="54.6" customHeight="1" x14ac:dyDescent="0.25">
      <c r="A7" t="s">
        <v>275</v>
      </c>
      <c r="B7">
        <v>1059</v>
      </c>
      <c r="C7" t="s">
        <v>642</v>
      </c>
      <c r="D7" t="s">
        <v>643</v>
      </c>
      <c r="E7" t="s">
        <v>643</v>
      </c>
      <c r="F7" s="5" t="s">
        <v>1002</v>
      </c>
      <c r="G7">
        <v>1</v>
      </c>
    </row>
    <row r="8" spans="1:7" ht="14.65" customHeight="1" x14ac:dyDescent="0.25">
      <c r="A8" t="s">
        <v>279</v>
      </c>
      <c r="B8">
        <v>179</v>
      </c>
      <c r="C8" t="s">
        <v>726</v>
      </c>
      <c r="D8" t="s">
        <v>727</v>
      </c>
      <c r="E8" t="s">
        <v>727</v>
      </c>
      <c r="F8" t="s">
        <v>728</v>
      </c>
      <c r="G8">
        <v>1</v>
      </c>
    </row>
    <row r="9" spans="1:7" x14ac:dyDescent="0.25">
      <c r="A9" t="s">
        <v>282</v>
      </c>
      <c r="B9">
        <v>15</v>
      </c>
      <c r="C9" t="s">
        <v>729</v>
      </c>
      <c r="D9" t="s">
        <v>730</v>
      </c>
      <c r="E9" t="s">
        <v>730</v>
      </c>
      <c r="F9" t="s">
        <v>731</v>
      </c>
      <c r="G9">
        <v>1</v>
      </c>
    </row>
    <row r="10" spans="1:7" x14ac:dyDescent="0.25">
      <c r="A10" t="s">
        <v>286</v>
      </c>
      <c r="B10">
        <v>280</v>
      </c>
      <c r="C10" t="s">
        <v>1010</v>
      </c>
      <c r="D10" t="s">
        <v>1008</v>
      </c>
      <c r="E10" t="s">
        <v>1008</v>
      </c>
      <c r="F10" t="s">
        <v>1009</v>
      </c>
      <c r="G10">
        <v>1</v>
      </c>
    </row>
    <row r="11" spans="1:7" x14ac:dyDescent="0.25">
      <c r="A11" t="s">
        <v>290</v>
      </c>
      <c r="B11">
        <v>30</v>
      </c>
      <c r="C11" t="s">
        <v>732</v>
      </c>
      <c r="D11" t="s">
        <v>733</v>
      </c>
      <c r="E11" t="s">
        <v>733</v>
      </c>
      <c r="F11" t="s">
        <v>734</v>
      </c>
      <c r="G11">
        <v>1</v>
      </c>
    </row>
    <row r="12" spans="1:7" x14ac:dyDescent="0.25">
      <c r="A12" t="s">
        <v>371</v>
      </c>
      <c r="B12">
        <v>110</v>
      </c>
      <c r="C12" t="s">
        <v>735</v>
      </c>
      <c r="D12" t="s">
        <v>736</v>
      </c>
      <c r="E12" t="s">
        <v>736</v>
      </c>
      <c r="F12" t="s">
        <v>737</v>
      </c>
      <c r="G12">
        <v>2</v>
      </c>
    </row>
    <row r="13" spans="1:7" x14ac:dyDescent="0.25">
      <c r="A13" t="s">
        <v>375</v>
      </c>
      <c r="B13">
        <v>54</v>
      </c>
      <c r="C13" t="s">
        <v>738</v>
      </c>
      <c r="D13" t="s">
        <v>739</v>
      </c>
      <c r="E13" t="s">
        <v>739</v>
      </c>
      <c r="F13" t="s">
        <v>740</v>
      </c>
      <c r="G13">
        <v>2</v>
      </c>
    </row>
    <row r="14" spans="1:7" x14ac:dyDescent="0.25">
      <c r="A14" t="s">
        <v>379</v>
      </c>
      <c r="B14">
        <v>72</v>
      </c>
      <c r="C14" t="s">
        <v>741</v>
      </c>
      <c r="D14" t="s">
        <v>742</v>
      </c>
      <c r="E14" t="s">
        <v>742</v>
      </c>
      <c r="F14" t="s">
        <v>743</v>
      </c>
      <c r="G14">
        <v>2</v>
      </c>
    </row>
    <row r="15" spans="1:7" x14ac:dyDescent="0.25">
      <c r="A15" t="s">
        <v>380</v>
      </c>
      <c r="B15">
        <v>52</v>
      </c>
      <c r="C15" t="s">
        <v>744</v>
      </c>
      <c r="D15" t="s">
        <v>745</v>
      </c>
      <c r="E15" t="s">
        <v>745</v>
      </c>
      <c r="F15" t="s">
        <v>746</v>
      </c>
      <c r="G15">
        <v>2</v>
      </c>
    </row>
    <row r="16" spans="1:7" x14ac:dyDescent="0.25">
      <c r="A16" t="s">
        <v>431</v>
      </c>
      <c r="B16">
        <v>29</v>
      </c>
      <c r="C16" t="s">
        <v>747</v>
      </c>
      <c r="D16" t="s">
        <v>748</v>
      </c>
      <c r="E16" t="s">
        <v>748</v>
      </c>
      <c r="F16" t="s">
        <v>749</v>
      </c>
      <c r="G16">
        <v>2</v>
      </c>
    </row>
    <row r="17" spans="1:7" x14ac:dyDescent="0.25">
      <c r="A17" t="s">
        <v>443</v>
      </c>
      <c r="B17">
        <v>75</v>
      </c>
      <c r="C17" t="s">
        <v>750</v>
      </c>
      <c r="D17" t="s">
        <v>632</v>
      </c>
      <c r="E17" t="s">
        <v>632</v>
      </c>
      <c r="F17" t="s">
        <v>751</v>
      </c>
      <c r="G17">
        <v>2</v>
      </c>
    </row>
    <row r="18" spans="1:7" ht="15" customHeight="1" x14ac:dyDescent="0.25">
      <c r="A18" t="s">
        <v>447</v>
      </c>
      <c r="B18">
        <v>43</v>
      </c>
      <c r="C18" t="s">
        <v>752</v>
      </c>
      <c r="D18" t="s">
        <v>753</v>
      </c>
      <c r="E18" t="s">
        <v>753</v>
      </c>
      <c r="F18" t="s">
        <v>754</v>
      </c>
      <c r="G18">
        <v>2</v>
      </c>
    </row>
    <row r="22" spans="1:7" x14ac:dyDescent="0.25">
      <c r="B22" t="s">
        <v>238</v>
      </c>
    </row>
    <row r="23" spans="1:7" x14ac:dyDescent="0.25">
      <c r="B23" t="s">
        <v>213</v>
      </c>
      <c r="C23" t="s">
        <v>346</v>
      </c>
      <c r="D23" t="s">
        <v>725</v>
      </c>
      <c r="E23" t="s">
        <v>347</v>
      </c>
      <c r="F23" t="s">
        <v>348</v>
      </c>
    </row>
    <row r="24" spans="1:7" x14ac:dyDescent="0.25">
      <c r="B24">
        <v>44</v>
      </c>
      <c r="C24" t="s">
        <v>755</v>
      </c>
      <c r="D24" t="s">
        <v>756</v>
      </c>
      <c r="E24" t="s">
        <v>756</v>
      </c>
      <c r="F24" t="s">
        <v>757</v>
      </c>
    </row>
    <row r="25" spans="1:7" x14ac:dyDescent="0.25">
      <c r="B25">
        <v>150</v>
      </c>
      <c r="C25" t="s">
        <v>758</v>
      </c>
      <c r="D25" t="s">
        <v>759</v>
      </c>
      <c r="E25" t="s">
        <v>759</v>
      </c>
      <c r="F25" t="s">
        <v>760</v>
      </c>
    </row>
    <row r="26" spans="1:7" x14ac:dyDescent="0.25">
      <c r="B26">
        <v>123</v>
      </c>
      <c r="C26" t="s">
        <v>761</v>
      </c>
      <c r="D26" t="s">
        <v>516</v>
      </c>
      <c r="E26" t="s">
        <v>516</v>
      </c>
      <c r="F26" t="s">
        <v>762</v>
      </c>
    </row>
    <row r="32" spans="1:7" x14ac:dyDescent="0.25">
      <c r="C32" t="s">
        <v>763</v>
      </c>
    </row>
  </sheetData>
  <pageMargins left="0.7" right="0.7" top="0.75" bottom="0.75" header="0.3" footer="0.3"/>
  <ignoredErrors>
    <ignoredError sqref="A1:G2 A20:G28 A11:A14 A3:B3 D3:G3 A8:G9 A4:G6 A30:G32 A29:B29 D29:G29 B19:G19"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26"/>
  <sheetViews>
    <sheetView topLeftCell="B1" workbookViewId="0">
      <selection activeCell="C3" sqref="C3"/>
    </sheetView>
  </sheetViews>
  <sheetFormatPr defaultRowHeight="15.75" x14ac:dyDescent="0.25"/>
  <cols>
    <col min="1" max="1" width="15.375" customWidth="1"/>
    <col min="2" max="2" width="22" customWidth="1"/>
    <col min="3" max="3" width="135.25" customWidth="1"/>
    <col min="4" max="4" width="26.25" customWidth="1"/>
    <col min="5" max="5" width="73.75" customWidth="1"/>
    <col min="6" max="6" width="8.625" customWidth="1"/>
  </cols>
  <sheetData>
    <row r="1" spans="1:6" x14ac:dyDescent="0.25">
      <c r="B1" t="s">
        <v>723</v>
      </c>
    </row>
    <row r="2" spans="1:6" ht="19.149999999999999" customHeight="1" x14ac:dyDescent="0.25">
      <c r="B2" t="s">
        <v>209</v>
      </c>
      <c r="C2" t="s">
        <v>764</v>
      </c>
    </row>
    <row r="3" spans="1:6" x14ac:dyDescent="0.25">
      <c r="A3" s="2">
        <v>46300</v>
      </c>
      <c r="B3" t="s">
        <v>211</v>
      </c>
      <c r="C3" t="s">
        <v>995</v>
      </c>
    </row>
    <row r="6" spans="1:6" x14ac:dyDescent="0.25">
      <c r="A6" t="s">
        <v>212</v>
      </c>
    </row>
    <row r="7" spans="1:6" x14ac:dyDescent="0.25">
      <c r="A7" t="s">
        <v>11</v>
      </c>
      <c r="B7" t="s">
        <v>213</v>
      </c>
      <c r="C7" t="s">
        <v>346</v>
      </c>
      <c r="D7" t="s">
        <v>347</v>
      </c>
      <c r="E7" t="s">
        <v>348</v>
      </c>
      <c r="F7" t="s">
        <v>217</v>
      </c>
    </row>
    <row r="8" spans="1:6" x14ac:dyDescent="0.25">
      <c r="A8" t="s">
        <v>275</v>
      </c>
      <c r="B8">
        <v>65</v>
      </c>
      <c r="C8" t="s">
        <v>765</v>
      </c>
      <c r="D8" t="s">
        <v>766</v>
      </c>
      <c r="E8" t="s">
        <v>970</v>
      </c>
      <c r="F8">
        <v>1</v>
      </c>
    </row>
    <row r="9" spans="1:6" x14ac:dyDescent="0.25">
      <c r="A9" t="s">
        <v>279</v>
      </c>
      <c r="B9">
        <v>47</v>
      </c>
      <c r="C9" t="s">
        <v>767</v>
      </c>
      <c r="D9" t="s">
        <v>768</v>
      </c>
      <c r="E9" t="s">
        <v>769</v>
      </c>
      <c r="F9">
        <v>1</v>
      </c>
    </row>
    <row r="10" spans="1:6" x14ac:dyDescent="0.25">
      <c r="A10" t="s">
        <v>282</v>
      </c>
      <c r="B10">
        <v>114</v>
      </c>
      <c r="C10" t="s">
        <v>770</v>
      </c>
      <c r="D10" t="s">
        <v>771</v>
      </c>
      <c r="E10" t="s">
        <v>772</v>
      </c>
      <c r="F10">
        <v>1</v>
      </c>
    </row>
    <row r="11" spans="1:6" x14ac:dyDescent="0.25">
      <c r="A11" t="s">
        <v>286</v>
      </c>
      <c r="B11">
        <v>231</v>
      </c>
      <c r="C11" t="s">
        <v>773</v>
      </c>
      <c r="D11" t="s">
        <v>774</v>
      </c>
      <c r="E11" t="s">
        <v>775</v>
      </c>
      <c r="F11">
        <v>1</v>
      </c>
    </row>
    <row r="12" spans="1:6" x14ac:dyDescent="0.25">
      <c r="A12" t="s">
        <v>290</v>
      </c>
      <c r="B12">
        <v>186</v>
      </c>
      <c r="C12" t="s">
        <v>776</v>
      </c>
      <c r="D12" t="s">
        <v>777</v>
      </c>
      <c r="E12" t="s">
        <v>778</v>
      </c>
      <c r="F12">
        <v>1</v>
      </c>
    </row>
    <row r="22" spans="2:5" x14ac:dyDescent="0.25">
      <c r="B22" t="s">
        <v>238</v>
      </c>
    </row>
    <row r="23" spans="2:5" x14ac:dyDescent="0.25">
      <c r="B23" t="s">
        <v>213</v>
      </c>
      <c r="C23" t="s">
        <v>346</v>
      </c>
      <c r="D23" t="s">
        <v>347</v>
      </c>
      <c r="E23" t="s">
        <v>348</v>
      </c>
    </row>
    <row r="24" spans="2:5" x14ac:dyDescent="0.25">
      <c r="B24">
        <v>135</v>
      </c>
      <c r="C24" t="s">
        <v>779</v>
      </c>
      <c r="D24" t="s">
        <v>780</v>
      </c>
      <c r="E24" t="s">
        <v>781</v>
      </c>
    </row>
    <row r="25" spans="2:5" x14ac:dyDescent="0.25">
      <c r="B25">
        <v>137</v>
      </c>
      <c r="C25" t="s">
        <v>782</v>
      </c>
      <c r="D25" t="s">
        <v>783</v>
      </c>
      <c r="E25" t="s">
        <v>784</v>
      </c>
    </row>
    <row r="26" spans="2:5" x14ac:dyDescent="0.25">
      <c r="C26" t="s">
        <v>785</v>
      </c>
      <c r="D26" t="s">
        <v>786</v>
      </c>
      <c r="E26" t="s">
        <v>787</v>
      </c>
    </row>
  </sheetData>
  <pageMargins left="0.7" right="0.7" top="0.75" bottom="0.75" header="0.3" footer="0.3"/>
  <ignoredErrors>
    <ignoredError sqref="A1:F2 A9:F26 A8:D8 F8 A4:F7 A3:B3 D3:F3"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28"/>
  <sheetViews>
    <sheetView workbookViewId="0">
      <selection activeCell="A13" sqref="A13:XFD13"/>
    </sheetView>
  </sheetViews>
  <sheetFormatPr defaultRowHeight="15.75" x14ac:dyDescent="0.25"/>
  <cols>
    <col min="1" max="1" width="15.25" customWidth="1"/>
    <col min="2" max="2" width="19" customWidth="1"/>
    <col min="3" max="3" width="117.75" customWidth="1"/>
    <col min="4" max="4" width="25.625" customWidth="1"/>
    <col min="5" max="5" width="75.875" customWidth="1"/>
    <col min="6" max="6" width="8.625" customWidth="1"/>
  </cols>
  <sheetData>
    <row r="1" spans="1:6" ht="49.9" customHeight="1" x14ac:dyDescent="0.25">
      <c r="B1" t="s">
        <v>723</v>
      </c>
    </row>
    <row r="2" spans="1:6" ht="41.45" customHeight="1" x14ac:dyDescent="0.25">
      <c r="B2" t="s">
        <v>209</v>
      </c>
      <c r="C2" t="s">
        <v>788</v>
      </c>
    </row>
    <row r="3" spans="1:6" x14ac:dyDescent="0.25">
      <c r="A3" s="2">
        <v>46303</v>
      </c>
      <c r="B3" t="s">
        <v>211</v>
      </c>
      <c r="C3" t="s">
        <v>125</v>
      </c>
    </row>
    <row r="5" spans="1:6" x14ac:dyDescent="0.25">
      <c r="A5" t="s">
        <v>212</v>
      </c>
    </row>
    <row r="6" spans="1:6" x14ac:dyDescent="0.25">
      <c r="A6" t="s">
        <v>11</v>
      </c>
      <c r="B6" t="s">
        <v>213</v>
      </c>
      <c r="C6" t="s">
        <v>346</v>
      </c>
      <c r="D6" t="s">
        <v>347</v>
      </c>
      <c r="E6" t="s">
        <v>348</v>
      </c>
      <c r="F6" t="s">
        <v>217</v>
      </c>
    </row>
    <row r="7" spans="1:6" ht="28.9" customHeight="1" x14ac:dyDescent="0.25">
      <c r="A7" t="s">
        <v>371</v>
      </c>
      <c r="B7">
        <v>90</v>
      </c>
      <c r="C7" t="s">
        <v>791</v>
      </c>
      <c r="D7" t="s">
        <v>500</v>
      </c>
      <c r="E7" s="5" t="s">
        <v>967</v>
      </c>
      <c r="F7">
        <v>1</v>
      </c>
    </row>
    <row r="8" spans="1:6" ht="43.15" customHeight="1" x14ac:dyDescent="0.25">
      <c r="A8" t="s">
        <v>375</v>
      </c>
      <c r="B8">
        <v>101</v>
      </c>
      <c r="C8" t="s">
        <v>792</v>
      </c>
      <c r="D8" t="s">
        <v>500</v>
      </c>
      <c r="E8" s="5" t="s">
        <v>966</v>
      </c>
      <c r="F8">
        <v>1</v>
      </c>
    </row>
    <row r="9" spans="1:6" ht="52.9" customHeight="1" x14ac:dyDescent="0.25">
      <c r="A9" t="s">
        <v>379</v>
      </c>
      <c r="B9">
        <v>118</v>
      </c>
      <c r="C9" t="s">
        <v>793</v>
      </c>
      <c r="D9" t="s">
        <v>794</v>
      </c>
      <c r="E9" t="s">
        <v>795</v>
      </c>
      <c r="F9">
        <v>1</v>
      </c>
    </row>
    <row r="10" spans="1:6" ht="28.9" customHeight="1" x14ac:dyDescent="0.25">
      <c r="A10" t="s">
        <v>380</v>
      </c>
      <c r="B10">
        <v>190</v>
      </c>
      <c r="C10" t="s">
        <v>796</v>
      </c>
      <c r="D10" t="s">
        <v>797</v>
      </c>
      <c r="F10">
        <v>1</v>
      </c>
    </row>
    <row r="11" spans="1:6" x14ac:dyDescent="0.25">
      <c r="A11" t="s">
        <v>431</v>
      </c>
      <c r="B11">
        <v>219</v>
      </c>
      <c r="C11" t="s">
        <v>798</v>
      </c>
      <c r="D11" t="s">
        <v>799</v>
      </c>
      <c r="E11" t="s">
        <v>800</v>
      </c>
      <c r="F11">
        <v>1</v>
      </c>
    </row>
    <row r="12" spans="1:6" ht="28.9" customHeight="1" x14ac:dyDescent="0.25">
      <c r="A12" t="s">
        <v>443</v>
      </c>
      <c r="B12">
        <v>245</v>
      </c>
      <c r="C12" t="s">
        <v>801</v>
      </c>
      <c r="D12" t="s">
        <v>802</v>
      </c>
      <c r="E12" t="s">
        <v>803</v>
      </c>
      <c r="F12">
        <v>1</v>
      </c>
    </row>
    <row r="13" spans="1:6" x14ac:dyDescent="0.25">
      <c r="A13" t="s">
        <v>447</v>
      </c>
      <c r="B13">
        <v>133</v>
      </c>
      <c r="C13" t="s">
        <v>806</v>
      </c>
      <c r="D13" t="s">
        <v>420</v>
      </c>
      <c r="E13" t="s">
        <v>807</v>
      </c>
      <c r="F13">
        <v>1</v>
      </c>
    </row>
    <row r="14" spans="1:6" x14ac:dyDescent="0.25">
      <c r="A14" t="s">
        <v>218</v>
      </c>
      <c r="B14">
        <v>130</v>
      </c>
      <c r="C14" t="s">
        <v>332</v>
      </c>
      <c r="D14" t="s">
        <v>333</v>
      </c>
      <c r="E14" t="s">
        <v>334</v>
      </c>
      <c r="F14">
        <v>2</v>
      </c>
    </row>
    <row r="15" spans="1:6" x14ac:dyDescent="0.25">
      <c r="A15" t="s">
        <v>220</v>
      </c>
      <c r="B15">
        <v>39</v>
      </c>
      <c r="C15" t="s">
        <v>804</v>
      </c>
      <c r="D15" t="s">
        <v>805</v>
      </c>
      <c r="F15">
        <v>2</v>
      </c>
    </row>
    <row r="19" spans="1:5" x14ac:dyDescent="0.25">
      <c r="A19" t="s">
        <v>238</v>
      </c>
    </row>
    <row r="20" spans="1:5" x14ac:dyDescent="0.25">
      <c r="B20" t="s">
        <v>213</v>
      </c>
      <c r="C20" t="s">
        <v>346</v>
      </c>
      <c r="D20" t="s">
        <v>347</v>
      </c>
      <c r="E20" t="s">
        <v>348</v>
      </c>
    </row>
    <row r="21" spans="1:5" x14ac:dyDescent="0.25">
      <c r="B21">
        <v>91</v>
      </c>
      <c r="C21" t="s">
        <v>808</v>
      </c>
      <c r="D21" t="s">
        <v>809</v>
      </c>
      <c r="E21" t="s">
        <v>810</v>
      </c>
    </row>
    <row r="22" spans="1:5" x14ac:dyDescent="0.25">
      <c r="B22">
        <v>1071</v>
      </c>
      <c r="C22" t="s">
        <v>811</v>
      </c>
      <c r="D22" t="s">
        <v>812</v>
      </c>
      <c r="E22" t="s">
        <v>813</v>
      </c>
    </row>
    <row r="23" spans="1:5" x14ac:dyDescent="0.25">
      <c r="B23">
        <v>1072</v>
      </c>
      <c r="C23" t="s">
        <v>814</v>
      </c>
      <c r="D23" t="s">
        <v>436</v>
      </c>
      <c r="E23" t="s">
        <v>815</v>
      </c>
    </row>
    <row r="24" spans="1:5" x14ac:dyDescent="0.25">
      <c r="C24" t="s">
        <v>816</v>
      </c>
      <c r="D24" t="s">
        <v>817</v>
      </c>
    </row>
    <row r="25" spans="1:5" x14ac:dyDescent="0.25">
      <c r="C25" t="s">
        <v>818</v>
      </c>
      <c r="D25" t="s">
        <v>819</v>
      </c>
      <c r="E25" t="s">
        <v>820</v>
      </c>
    </row>
    <row r="26" spans="1:5" x14ac:dyDescent="0.25">
      <c r="C26" t="s">
        <v>821</v>
      </c>
      <c r="D26" t="s">
        <v>822</v>
      </c>
      <c r="E26" t="s">
        <v>973</v>
      </c>
    </row>
    <row r="27" spans="1:5" x14ac:dyDescent="0.25">
      <c r="B27">
        <v>17</v>
      </c>
      <c r="C27" t="s">
        <v>789</v>
      </c>
      <c r="D27" t="s">
        <v>756</v>
      </c>
      <c r="E27" t="s">
        <v>790</v>
      </c>
    </row>
    <row r="28" spans="1:5" x14ac:dyDescent="0.25">
      <c r="B28">
        <v>38</v>
      </c>
      <c r="C28" t="s">
        <v>329</v>
      </c>
      <c r="D28" t="s">
        <v>330</v>
      </c>
      <c r="E28" t="s">
        <v>331</v>
      </c>
    </row>
  </sheetData>
  <pageMargins left="0.7" right="0.7" top="0.75" bottom="0.75" header="0.3" footer="0.3"/>
  <ignoredErrors>
    <ignoredError sqref="A1:F6 A16:F25 A8:A14 A7 A15 A26:D26 F26"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16"/>
  <sheetViews>
    <sheetView workbookViewId="0">
      <selection activeCell="E24" sqref="E24"/>
    </sheetView>
  </sheetViews>
  <sheetFormatPr defaultRowHeight="15.75" x14ac:dyDescent="0.25"/>
  <cols>
    <col min="1" max="1" width="21.375" customWidth="1"/>
    <col min="2" max="2" width="14.75" customWidth="1"/>
    <col min="3" max="3" width="124.25" customWidth="1"/>
    <col min="4" max="4" width="23.375" customWidth="1"/>
    <col min="5" max="5" width="70.25" customWidth="1"/>
    <col min="6" max="6" width="8.625" customWidth="1"/>
  </cols>
  <sheetData>
    <row r="1" spans="1:6" x14ac:dyDescent="0.25">
      <c r="B1" t="s">
        <v>723</v>
      </c>
    </row>
    <row r="2" spans="1:6" ht="18" customHeight="1" x14ac:dyDescent="0.25">
      <c r="B2" t="s">
        <v>209</v>
      </c>
      <c r="C2" t="s">
        <v>823</v>
      </c>
    </row>
    <row r="3" spans="1:6" x14ac:dyDescent="0.25">
      <c r="A3" s="2">
        <v>46303</v>
      </c>
      <c r="B3" t="s">
        <v>211</v>
      </c>
      <c r="C3" t="s">
        <v>125</v>
      </c>
    </row>
    <row r="5" spans="1:6" x14ac:dyDescent="0.25">
      <c r="A5" t="s">
        <v>212</v>
      </c>
    </row>
    <row r="6" spans="1:6" x14ac:dyDescent="0.25">
      <c r="A6" t="s">
        <v>11</v>
      </c>
      <c r="B6" t="s">
        <v>213</v>
      </c>
      <c r="C6" t="s">
        <v>346</v>
      </c>
      <c r="D6" t="s">
        <v>347</v>
      </c>
      <c r="E6" t="s">
        <v>348</v>
      </c>
      <c r="F6" t="s">
        <v>217</v>
      </c>
    </row>
    <row r="7" spans="1:6" x14ac:dyDescent="0.25">
      <c r="A7" t="s">
        <v>227</v>
      </c>
      <c r="C7" t="s">
        <v>829</v>
      </c>
      <c r="D7" t="s">
        <v>722</v>
      </c>
      <c r="F7">
        <v>1</v>
      </c>
    </row>
    <row r="8" spans="1:6" x14ac:dyDescent="0.25">
      <c r="A8" s="3" t="s">
        <v>230</v>
      </c>
      <c r="B8">
        <v>32</v>
      </c>
      <c r="C8" t="s">
        <v>824</v>
      </c>
      <c r="D8" t="s">
        <v>825</v>
      </c>
      <c r="F8">
        <v>1</v>
      </c>
    </row>
    <row r="9" spans="1:6" x14ac:dyDescent="0.25">
      <c r="A9" t="s">
        <v>234</v>
      </c>
      <c r="B9">
        <v>421</v>
      </c>
      <c r="C9" t="s">
        <v>826</v>
      </c>
      <c r="D9" t="s">
        <v>827</v>
      </c>
      <c r="E9" t="s">
        <v>828</v>
      </c>
      <c r="F9">
        <v>1</v>
      </c>
    </row>
    <row r="10" spans="1:6" x14ac:dyDescent="0.25">
      <c r="A10" t="s">
        <v>336</v>
      </c>
      <c r="C10" t="s">
        <v>993</v>
      </c>
      <c r="D10" t="s">
        <v>994</v>
      </c>
      <c r="F10">
        <v>1</v>
      </c>
    </row>
    <row r="12" spans="1:6" x14ac:dyDescent="0.25">
      <c r="A12" t="s">
        <v>238</v>
      </c>
    </row>
    <row r="13" spans="1:6" x14ac:dyDescent="0.25">
      <c r="B13" t="s">
        <v>213</v>
      </c>
      <c r="C13" t="s">
        <v>346</v>
      </c>
      <c r="D13" t="s">
        <v>347</v>
      </c>
      <c r="E13" t="s">
        <v>348</v>
      </c>
      <c r="F13">
        <v>1</v>
      </c>
    </row>
    <row r="14" spans="1:6" x14ac:dyDescent="0.25">
      <c r="B14">
        <v>102</v>
      </c>
      <c r="C14" t="s">
        <v>830</v>
      </c>
      <c r="D14" t="s">
        <v>831</v>
      </c>
      <c r="E14" t="s">
        <v>832</v>
      </c>
      <c r="F14">
        <v>1</v>
      </c>
    </row>
    <row r="15" spans="1:6" x14ac:dyDescent="0.25">
      <c r="C15" t="s">
        <v>833</v>
      </c>
      <c r="D15" t="s">
        <v>827</v>
      </c>
      <c r="E15" t="s">
        <v>828</v>
      </c>
      <c r="F15">
        <v>1</v>
      </c>
    </row>
    <row r="16" spans="1:6" x14ac:dyDescent="0.25">
      <c r="C16" t="s">
        <v>834</v>
      </c>
      <c r="D16" t="s">
        <v>835</v>
      </c>
      <c r="E16" t="s">
        <v>836</v>
      </c>
      <c r="F16">
        <v>1</v>
      </c>
    </row>
  </sheetData>
  <pageMargins left="0.7" right="0.7" top="0.75" bottom="0.75" header="0.3" footer="0.3"/>
  <ignoredErrors>
    <ignoredError sqref="A8:F9 A14:F17 B12:F13 A1:F6 A11:F11"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F20"/>
  <sheetViews>
    <sheetView workbookViewId="0">
      <selection activeCell="C3" sqref="C3"/>
    </sheetView>
  </sheetViews>
  <sheetFormatPr defaultRowHeight="15.75" x14ac:dyDescent="0.25"/>
  <cols>
    <col min="1" max="1" width="20" customWidth="1"/>
    <col min="2" max="2" width="21.25" customWidth="1"/>
    <col min="3" max="3" width="112" customWidth="1"/>
    <col min="4" max="4" width="20.25" customWidth="1"/>
    <col min="5" max="5" width="57.25" customWidth="1"/>
    <col min="6" max="6" width="8.625" customWidth="1"/>
  </cols>
  <sheetData>
    <row r="1" spans="1:6" x14ac:dyDescent="0.25">
      <c r="B1" t="s">
        <v>723</v>
      </c>
    </row>
    <row r="2" spans="1:6" x14ac:dyDescent="0.25">
      <c r="B2" t="s">
        <v>209</v>
      </c>
      <c r="C2" t="s">
        <v>837</v>
      </c>
    </row>
    <row r="3" spans="1:6" x14ac:dyDescent="0.25">
      <c r="A3" s="2">
        <v>46303</v>
      </c>
      <c r="B3" t="s">
        <v>211</v>
      </c>
      <c r="C3" t="s">
        <v>996</v>
      </c>
    </row>
    <row r="5" spans="1:6" x14ac:dyDescent="0.25">
      <c r="A5" t="s">
        <v>212</v>
      </c>
    </row>
    <row r="6" spans="1:6" x14ac:dyDescent="0.25">
      <c r="A6" t="s">
        <v>11</v>
      </c>
      <c r="B6" t="s">
        <v>213</v>
      </c>
      <c r="C6" t="s">
        <v>346</v>
      </c>
      <c r="D6" t="s">
        <v>347</v>
      </c>
      <c r="E6" t="s">
        <v>348</v>
      </c>
      <c r="F6" t="s">
        <v>217</v>
      </c>
    </row>
    <row r="7" spans="1:6" x14ac:dyDescent="0.25">
      <c r="A7" t="s">
        <v>447</v>
      </c>
      <c r="B7">
        <v>271</v>
      </c>
      <c r="C7" t="s">
        <v>838</v>
      </c>
      <c r="D7" t="s">
        <v>839</v>
      </c>
      <c r="E7" t="s">
        <v>840</v>
      </c>
      <c r="F7">
        <v>1</v>
      </c>
    </row>
    <row r="8" spans="1:6" x14ac:dyDescent="0.25">
      <c r="A8" t="s">
        <v>218</v>
      </c>
      <c r="B8">
        <v>68</v>
      </c>
      <c r="C8" t="s">
        <v>841</v>
      </c>
      <c r="D8" t="s">
        <v>842</v>
      </c>
      <c r="F8">
        <v>2</v>
      </c>
    </row>
    <row r="9" spans="1:6" x14ac:dyDescent="0.25">
      <c r="A9" t="s">
        <v>220</v>
      </c>
      <c r="B9">
        <v>248</v>
      </c>
      <c r="C9" t="s">
        <v>843</v>
      </c>
      <c r="D9" t="s">
        <v>844</v>
      </c>
      <c r="E9" t="s">
        <v>845</v>
      </c>
      <c r="F9">
        <v>2</v>
      </c>
    </row>
    <row r="12" spans="1:6" ht="19.149999999999999" customHeight="1" x14ac:dyDescent="0.25"/>
    <row r="16" spans="1:6" x14ac:dyDescent="0.25">
      <c r="A16" t="s">
        <v>238</v>
      </c>
    </row>
    <row r="17" spans="2:5" x14ac:dyDescent="0.25">
      <c r="B17" t="s">
        <v>213</v>
      </c>
      <c r="C17" t="s">
        <v>346</v>
      </c>
      <c r="D17" t="s">
        <v>347</v>
      </c>
      <c r="E17" t="s">
        <v>348</v>
      </c>
    </row>
    <row r="18" spans="2:5" ht="45" customHeight="1" x14ac:dyDescent="0.25">
      <c r="B18">
        <v>259</v>
      </c>
      <c r="C18" t="s">
        <v>846</v>
      </c>
      <c r="D18" t="s">
        <v>847</v>
      </c>
      <c r="E18" t="s">
        <v>848</v>
      </c>
    </row>
    <row r="19" spans="2:5" x14ac:dyDescent="0.25">
      <c r="C19" t="s">
        <v>849</v>
      </c>
      <c r="D19" t="s">
        <v>850</v>
      </c>
      <c r="E19" t="s">
        <v>223</v>
      </c>
    </row>
    <row r="20" spans="2:5" x14ac:dyDescent="0.25">
      <c r="C20" t="s">
        <v>974</v>
      </c>
      <c r="D20" s="10" t="s">
        <v>975</v>
      </c>
      <c r="E20" s="10" t="s">
        <v>976</v>
      </c>
    </row>
  </sheetData>
  <pageMargins left="0.7" right="0.7" top="0.75" bottom="0.75" header="0.3" footer="0.3"/>
  <ignoredErrors>
    <ignoredError sqref="A1:F2 A4:F19 A3:B3 D3:F3"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32"/>
  <sheetViews>
    <sheetView topLeftCell="D1" workbookViewId="0">
      <selection activeCell="E16" sqref="E16"/>
    </sheetView>
  </sheetViews>
  <sheetFormatPr defaultRowHeight="15.75" x14ac:dyDescent="0.25"/>
  <cols>
    <col min="1" max="1" width="14.75" customWidth="1"/>
    <col min="2" max="2" width="21.75" customWidth="1"/>
    <col min="3" max="3" width="133.75" customWidth="1"/>
    <col min="4" max="4" width="25" customWidth="1"/>
    <col min="5" max="5" width="87.125" customWidth="1"/>
    <col min="6" max="6" width="8.625" customWidth="1"/>
  </cols>
  <sheetData>
    <row r="1" spans="1:6" x14ac:dyDescent="0.25">
      <c r="B1" t="s">
        <v>723</v>
      </c>
    </row>
    <row r="2" spans="1:6" ht="30" customHeight="1" x14ac:dyDescent="0.25">
      <c r="B2" t="s">
        <v>209</v>
      </c>
      <c r="C2" t="s">
        <v>851</v>
      </c>
    </row>
    <row r="3" spans="1:6" x14ac:dyDescent="0.25">
      <c r="A3" s="2">
        <v>46300</v>
      </c>
      <c r="B3" t="s">
        <v>211</v>
      </c>
      <c r="C3" t="s">
        <v>996</v>
      </c>
    </row>
    <row r="6" spans="1:6" x14ac:dyDescent="0.25">
      <c r="A6" t="s">
        <v>212</v>
      </c>
    </row>
    <row r="7" spans="1:6" x14ac:dyDescent="0.25">
      <c r="A7" t="s">
        <v>11</v>
      </c>
      <c r="B7" t="s">
        <v>213</v>
      </c>
      <c r="C7" t="s">
        <v>346</v>
      </c>
      <c r="D7" t="s">
        <v>347</v>
      </c>
      <c r="E7" t="s">
        <v>348</v>
      </c>
      <c r="F7" t="s">
        <v>217</v>
      </c>
    </row>
    <row r="8" spans="1:6" ht="31.15" customHeight="1" x14ac:dyDescent="0.25">
      <c r="A8" t="s">
        <v>265</v>
      </c>
      <c r="B8">
        <v>222</v>
      </c>
      <c r="C8" t="s">
        <v>852</v>
      </c>
      <c r="D8" t="s">
        <v>554</v>
      </c>
      <c r="E8" t="s">
        <v>853</v>
      </c>
      <c r="F8">
        <v>1</v>
      </c>
    </row>
    <row r="9" spans="1:6" ht="31.15" customHeight="1" x14ac:dyDescent="0.25">
      <c r="A9" t="s">
        <v>854</v>
      </c>
      <c r="B9">
        <v>1063</v>
      </c>
      <c r="C9" t="s">
        <v>855</v>
      </c>
      <c r="D9" t="s">
        <v>856</v>
      </c>
      <c r="E9" t="s">
        <v>857</v>
      </c>
      <c r="F9">
        <v>1</v>
      </c>
    </row>
    <row r="10" spans="1:6" x14ac:dyDescent="0.25">
      <c r="A10" t="s">
        <v>858</v>
      </c>
      <c r="B10">
        <v>119</v>
      </c>
      <c r="C10" t="s">
        <v>859</v>
      </c>
      <c r="D10" t="s">
        <v>860</v>
      </c>
      <c r="E10" t="s">
        <v>861</v>
      </c>
      <c r="F10">
        <v>1</v>
      </c>
    </row>
    <row r="11" spans="1:6" x14ac:dyDescent="0.25">
      <c r="A11" t="s">
        <v>862</v>
      </c>
      <c r="B11">
        <v>1067</v>
      </c>
      <c r="C11" t="s">
        <v>863</v>
      </c>
      <c r="D11" t="s">
        <v>864</v>
      </c>
      <c r="E11" t="s">
        <v>865</v>
      </c>
      <c r="F11">
        <v>1</v>
      </c>
    </row>
    <row r="12" spans="1:6" x14ac:dyDescent="0.25">
      <c r="A12" t="s">
        <v>866</v>
      </c>
      <c r="B12">
        <v>125</v>
      </c>
      <c r="C12" t="s">
        <v>867</v>
      </c>
      <c r="D12" t="s">
        <v>868</v>
      </c>
      <c r="E12" t="s">
        <v>869</v>
      </c>
      <c r="F12">
        <v>1</v>
      </c>
    </row>
    <row r="13" spans="1:6" x14ac:dyDescent="0.25">
      <c r="A13" s="4" t="s">
        <v>870</v>
      </c>
      <c r="B13">
        <v>67</v>
      </c>
      <c r="C13" t="s">
        <v>871</v>
      </c>
      <c r="D13" t="s">
        <v>872</v>
      </c>
      <c r="E13" t="s">
        <v>873</v>
      </c>
      <c r="F13">
        <v>1</v>
      </c>
    </row>
    <row r="14" spans="1:6" x14ac:dyDescent="0.25">
      <c r="A14" s="3" t="s">
        <v>874</v>
      </c>
      <c r="B14">
        <v>73</v>
      </c>
      <c r="C14" t="s">
        <v>875</v>
      </c>
      <c r="D14" t="s">
        <v>742</v>
      </c>
      <c r="E14" t="s">
        <v>876</v>
      </c>
      <c r="F14">
        <v>1</v>
      </c>
    </row>
    <row r="15" spans="1:6" ht="15" customHeight="1" x14ac:dyDescent="0.25">
      <c r="A15" t="s">
        <v>877</v>
      </c>
      <c r="B15">
        <v>255</v>
      </c>
      <c r="C15" t="s">
        <v>878</v>
      </c>
      <c r="D15" t="s">
        <v>879</v>
      </c>
      <c r="E15" t="s">
        <v>880</v>
      </c>
      <c r="F15">
        <v>1</v>
      </c>
    </row>
    <row r="16" spans="1:6" x14ac:dyDescent="0.25">
      <c r="A16" t="s">
        <v>991</v>
      </c>
      <c r="C16" t="s">
        <v>990</v>
      </c>
      <c r="D16" t="s">
        <v>992</v>
      </c>
      <c r="E16" t="s">
        <v>998</v>
      </c>
      <c r="F16">
        <v>1</v>
      </c>
    </row>
    <row r="20" spans="1:6" x14ac:dyDescent="0.25">
      <c r="A20" t="s">
        <v>238</v>
      </c>
    </row>
    <row r="21" spans="1:6" x14ac:dyDescent="0.25">
      <c r="B21" t="s">
        <v>213</v>
      </c>
      <c r="C21" t="s">
        <v>346</v>
      </c>
      <c r="D21" t="s">
        <v>347</v>
      </c>
      <c r="E21" t="s">
        <v>348</v>
      </c>
    </row>
    <row r="22" spans="1:6" x14ac:dyDescent="0.25">
      <c r="B22">
        <v>45</v>
      </c>
      <c r="C22" t="s">
        <v>884</v>
      </c>
      <c r="D22" t="s">
        <v>885</v>
      </c>
    </row>
    <row r="23" spans="1:6" x14ac:dyDescent="0.25">
      <c r="B23">
        <v>51</v>
      </c>
      <c r="C23" t="s">
        <v>886</v>
      </c>
      <c r="D23" t="s">
        <v>887</v>
      </c>
      <c r="E23" t="s">
        <v>888</v>
      </c>
    </row>
    <row r="24" spans="1:6" x14ac:dyDescent="0.25">
      <c r="B24">
        <v>83</v>
      </c>
      <c r="C24" t="s">
        <v>889</v>
      </c>
      <c r="D24" t="s">
        <v>890</v>
      </c>
      <c r="E24" t="s">
        <v>891</v>
      </c>
    </row>
    <row r="25" spans="1:6" x14ac:dyDescent="0.25">
      <c r="B25">
        <v>86</v>
      </c>
      <c r="C25" t="s">
        <v>892</v>
      </c>
      <c r="D25" t="s">
        <v>893</v>
      </c>
      <c r="E25" t="s">
        <v>894</v>
      </c>
    </row>
    <row r="26" spans="1:6" x14ac:dyDescent="0.25">
      <c r="B26">
        <v>100</v>
      </c>
      <c r="C26" t="s">
        <v>895</v>
      </c>
      <c r="D26" t="s">
        <v>896</v>
      </c>
      <c r="E26" t="s">
        <v>897</v>
      </c>
    </row>
    <row r="27" spans="1:6" x14ac:dyDescent="0.25">
      <c r="B27">
        <v>252</v>
      </c>
      <c r="C27" t="s">
        <v>898</v>
      </c>
      <c r="D27" t="s">
        <v>899</v>
      </c>
      <c r="E27" t="s">
        <v>900</v>
      </c>
    </row>
    <row r="28" spans="1:6" x14ac:dyDescent="0.25">
      <c r="C28" t="s">
        <v>901</v>
      </c>
      <c r="D28" t="s">
        <v>827</v>
      </c>
      <c r="E28" t="s">
        <v>902</v>
      </c>
    </row>
    <row r="29" spans="1:6" x14ac:dyDescent="0.25">
      <c r="C29" t="s">
        <v>904</v>
      </c>
      <c r="D29" t="s">
        <v>905</v>
      </c>
      <c r="E29" t="s">
        <v>906</v>
      </c>
    </row>
    <row r="30" spans="1:6" x14ac:dyDescent="0.25">
      <c r="C30" t="s">
        <v>907</v>
      </c>
      <c r="D30" t="s">
        <v>850</v>
      </c>
    </row>
    <row r="31" spans="1:6" x14ac:dyDescent="0.25">
      <c r="C31" t="s">
        <v>908</v>
      </c>
      <c r="D31" t="s">
        <v>909</v>
      </c>
      <c r="E31" t="s">
        <v>910</v>
      </c>
    </row>
    <row r="32" spans="1:6" ht="15" customHeight="1" x14ac:dyDescent="0.25">
      <c r="B32">
        <v>41</v>
      </c>
      <c r="C32" t="s">
        <v>881</v>
      </c>
      <c r="D32" t="s">
        <v>882</v>
      </c>
      <c r="E32" t="s">
        <v>883</v>
      </c>
      <c r="F32">
        <v>1</v>
      </c>
    </row>
  </sheetData>
  <pageMargins left="0.7" right="0.7" top="0.75" bottom="0.75" header="0.3" footer="0.3"/>
  <ignoredErrors>
    <ignoredError sqref="A1:G2 A17:G28 A29:G31 A4:G15 A3:B3 D3:G3"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1"/>
  <sheetViews>
    <sheetView topLeftCell="B1" workbookViewId="0">
      <selection activeCell="C3" sqref="C3"/>
    </sheetView>
  </sheetViews>
  <sheetFormatPr defaultRowHeight="15.75" x14ac:dyDescent="0.25"/>
  <cols>
    <col min="1" max="1" width="19.75" customWidth="1"/>
    <col min="2" max="2" width="32.75" customWidth="1"/>
    <col min="3" max="3" width="96.25" customWidth="1"/>
    <col min="4" max="4" width="22.25" customWidth="1"/>
    <col min="5" max="5" width="77.25" customWidth="1"/>
    <col min="6" max="6" width="8.625" customWidth="1"/>
  </cols>
  <sheetData>
    <row r="1" spans="1:6" x14ac:dyDescent="0.25">
      <c r="B1" t="s">
        <v>723</v>
      </c>
    </row>
    <row r="2" spans="1:6" ht="19.149999999999999" customHeight="1" x14ac:dyDescent="0.25">
      <c r="B2" t="s">
        <v>209</v>
      </c>
      <c r="C2" t="s">
        <v>911</v>
      </c>
    </row>
    <row r="3" spans="1:6" x14ac:dyDescent="0.25">
      <c r="A3" s="2">
        <v>46300</v>
      </c>
      <c r="B3" t="s">
        <v>211</v>
      </c>
      <c r="C3" t="s">
        <v>995</v>
      </c>
    </row>
    <row r="6" spans="1:6" x14ac:dyDescent="0.25">
      <c r="B6" t="s">
        <v>212</v>
      </c>
    </row>
    <row r="7" spans="1:6" x14ac:dyDescent="0.25">
      <c r="A7" t="s">
        <v>11</v>
      </c>
      <c r="B7" t="s">
        <v>213</v>
      </c>
      <c r="C7" t="s">
        <v>346</v>
      </c>
      <c r="D7" t="s">
        <v>347</v>
      </c>
      <c r="E7" t="s">
        <v>348</v>
      </c>
      <c r="F7" t="s">
        <v>217</v>
      </c>
    </row>
    <row r="8" spans="1:6" x14ac:dyDescent="0.25">
      <c r="A8" t="s">
        <v>265</v>
      </c>
      <c r="B8">
        <v>218</v>
      </c>
      <c r="C8" t="s">
        <v>912</v>
      </c>
      <c r="D8" t="s">
        <v>913</v>
      </c>
      <c r="E8" t="s">
        <v>914</v>
      </c>
      <c r="F8">
        <v>1</v>
      </c>
    </row>
    <row r="9" spans="1:6" x14ac:dyDescent="0.25">
      <c r="A9" t="s">
        <v>268</v>
      </c>
      <c r="B9">
        <v>1064</v>
      </c>
      <c r="C9" t="s">
        <v>915</v>
      </c>
      <c r="D9" t="s">
        <v>916</v>
      </c>
      <c r="E9" t="s">
        <v>917</v>
      </c>
      <c r="F9">
        <v>1</v>
      </c>
    </row>
    <row r="10" spans="1:6" x14ac:dyDescent="0.25">
      <c r="A10" t="s">
        <v>271</v>
      </c>
      <c r="B10">
        <v>70</v>
      </c>
      <c r="C10" t="s">
        <v>918</v>
      </c>
      <c r="D10" t="s">
        <v>919</v>
      </c>
      <c r="E10" t="s">
        <v>965</v>
      </c>
      <c r="F10">
        <v>1</v>
      </c>
    </row>
    <row r="13" spans="1:6" x14ac:dyDescent="0.25">
      <c r="B13" t="s">
        <v>238</v>
      </c>
    </row>
    <row r="14" spans="1:6" x14ac:dyDescent="0.25">
      <c r="B14" t="s">
        <v>213</v>
      </c>
      <c r="C14" t="s">
        <v>346</v>
      </c>
      <c r="D14" t="s">
        <v>347</v>
      </c>
      <c r="E14" t="s">
        <v>348</v>
      </c>
    </row>
    <row r="15" spans="1:6" x14ac:dyDescent="0.25">
      <c r="B15">
        <v>64</v>
      </c>
      <c r="C15" t="s">
        <v>920</v>
      </c>
      <c r="D15" t="s">
        <v>921</v>
      </c>
      <c r="E15" t="s">
        <v>922</v>
      </c>
    </row>
    <row r="16" spans="1:6" x14ac:dyDescent="0.25">
      <c r="B16">
        <v>66</v>
      </c>
      <c r="C16" t="s">
        <v>923</v>
      </c>
      <c r="D16" t="s">
        <v>921</v>
      </c>
      <c r="E16" t="s">
        <v>924</v>
      </c>
    </row>
    <row r="17" spans="2:5" ht="13.9" customHeight="1" x14ac:dyDescent="0.25">
      <c r="B17">
        <v>154</v>
      </c>
      <c r="C17" t="s">
        <v>925</v>
      </c>
      <c r="D17" t="s">
        <v>386</v>
      </c>
      <c r="E17" t="s">
        <v>926</v>
      </c>
    </row>
    <row r="18" spans="2:5" x14ac:dyDescent="0.25">
      <c r="B18">
        <v>161</v>
      </c>
      <c r="C18" t="s">
        <v>927</v>
      </c>
      <c r="D18" t="s">
        <v>928</v>
      </c>
      <c r="E18" t="s">
        <v>971</v>
      </c>
    </row>
    <row r="19" spans="2:5" ht="22.15" customHeight="1" x14ac:dyDescent="0.25">
      <c r="C19" t="s">
        <v>929</v>
      </c>
      <c r="D19" t="s">
        <v>930</v>
      </c>
      <c r="E19" t="s">
        <v>931</v>
      </c>
    </row>
    <row r="20" spans="2:5" x14ac:dyDescent="0.25">
      <c r="C20" t="s">
        <v>932</v>
      </c>
      <c r="D20" t="s">
        <v>933</v>
      </c>
      <c r="E20" t="s">
        <v>820</v>
      </c>
    </row>
    <row r="21" spans="2:5" ht="28.9" customHeight="1" x14ac:dyDescent="0.25">
      <c r="C21" t="s">
        <v>934</v>
      </c>
      <c r="D21" t="s">
        <v>935</v>
      </c>
      <c r="E21" t="s">
        <v>936</v>
      </c>
    </row>
  </sheetData>
  <pageMargins left="0.7" right="0.7" top="0.75" bottom="0.75" header="0.3" footer="0.3"/>
  <ignoredErrors>
    <ignoredError sqref="A1:F2 A11:F17 A10:D10 F10 A19:F26 A18:D18 F18 A4:F9 A3:B3 D3:F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vt:i4>
      </vt:variant>
    </vt:vector>
  </HeadingPairs>
  <TitlesOfParts>
    <vt:vector size="31" baseType="lpstr">
      <vt:lpstr>Kumamoto_Fuzi_6_OCT</vt:lpstr>
      <vt:lpstr>Workshops</vt:lpstr>
      <vt:lpstr>Schedule</vt:lpstr>
      <vt:lpstr>Environ Modelling Policy</vt:lpstr>
      <vt:lpstr>Advances in Machine Learning</vt:lpstr>
      <vt:lpstr>Human Biomonitoring</vt:lpstr>
      <vt:lpstr>ASGM and gold mining_all</vt:lpstr>
      <vt:lpstr>ASGM and gold mining_05Oct</vt:lpstr>
      <vt:lpstr>ASGM and gold mining_06Oct</vt:lpstr>
      <vt:lpstr>Mercury GEOTRACES</vt:lpstr>
      <vt:lpstr>Ayurveda</vt:lpstr>
      <vt:lpstr>Biodiversity</vt:lpstr>
      <vt:lpstr>Selenium</vt:lpstr>
      <vt:lpstr>Forests</vt:lpstr>
      <vt:lpstr>Geologic_processes</vt:lpstr>
      <vt:lpstr>Geologic_processe _5_OCT</vt:lpstr>
      <vt:lpstr>Geologic_processes_6_OCT</vt:lpstr>
      <vt:lpstr>Oil and Gas</vt:lpstr>
      <vt:lpstr>Southern Hemisphere</vt:lpstr>
      <vt:lpstr>Effectiveness Evaluation</vt:lpstr>
      <vt:lpstr>Transformations and mobilizatio</vt:lpstr>
      <vt:lpstr>Science policy interface</vt:lpstr>
      <vt:lpstr>Toxic Trail of Beauty</vt:lpstr>
      <vt:lpstr>Atmosphere</vt:lpstr>
      <vt:lpstr>Cryosphere_poles</vt:lpstr>
      <vt:lpstr>Environmental_Health</vt:lpstr>
      <vt:lpstr>Human health</vt:lpstr>
      <vt:lpstr>Land and vegetation</vt:lpstr>
      <vt:lpstr>New_techniques</vt:lpstr>
      <vt:lpstr>Freshwater &amp; Oceans</vt:lpstr>
      <vt:lpstr>Workshops!_FilterDatabase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PRIYANKA</dc:creator>
  <cp:lastModifiedBy>Vikas Kumar Meena</cp:lastModifiedBy>
  <dcterms:created xsi:type="dcterms:W3CDTF">2026-09-19T07:47:28Z</dcterms:created>
  <dcterms:modified xsi:type="dcterms:W3CDTF">2026-10-08T12:03:53Z</dcterms:modified>
</cp:coreProperties>
</file>