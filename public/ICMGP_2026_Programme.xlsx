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ICMGP\ICMGP-2026-App_VKM\public\"/>
    </mc:Choice>
  </mc:AlternateContent>
  <xr:revisionPtr revIDLastSave="0" documentId="13_ncr:1_{598B7A2C-2F25-43FB-B28F-E8C3E2C0F19D}" xr6:coauthVersionLast="47" xr6:coauthVersionMax="47" xr10:uidLastSave="{00000000-0000-0000-0000-000000000000}"/>
  <bookViews>
    <workbookView xWindow="-120" yWindow="-120" windowWidth="29040" windowHeight="15720" activeTab="2" xr2:uid="{00000000-000D-0000-FFFF-FFFF00000000}"/>
  </bookViews>
  <sheets>
    <sheet name="Schedule" sheetId="1" r:id="rId1"/>
    <sheet name="Sessions" sheetId="2" r:id="rId2"/>
    <sheet name="Presentations" sheetId="3" r:id="rId3"/>
    <sheet name="Events" sheetId="4" r:id="rId4"/>
    <sheet name="Config" sheetId="5" r:id="rId5"/>
    <sheet name="Corrections_Audit" sheetId="6" r:id="rId6"/>
    <sheet name="Q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7" l="1"/>
  <c r="E6" i="7"/>
  <c r="E5" i="7"/>
  <c r="E4" i="7"/>
  <c r="E10" i="7"/>
  <c r="E9" i="7"/>
  <c r="E8" i="7"/>
</calcChain>
</file>

<file path=xl/sharedStrings.xml><?xml version="1.0" encoding="utf-8"?>
<sst xmlns="http://schemas.openxmlformats.org/spreadsheetml/2006/main" count="8114" uniqueCount="2015">
  <si>
    <t>Schedule_ID</t>
  </si>
  <si>
    <t>Date</t>
  </si>
  <si>
    <t>Day</t>
  </si>
  <si>
    <t>Time_Range</t>
  </si>
  <si>
    <t>Start_Time</t>
  </si>
  <si>
    <t>End_Time</t>
  </si>
  <si>
    <t>Room</t>
  </si>
  <si>
    <t>Item_Type</t>
  </si>
  <si>
    <t>Related_ID</t>
  </si>
  <si>
    <t>Display_Title</t>
  </si>
  <si>
    <t>Active_Web</t>
  </si>
  <si>
    <t>Display_Surface</t>
  </si>
  <si>
    <t>Source_Schedule_Row</t>
  </si>
  <si>
    <t>Source_Category</t>
  </si>
  <si>
    <t>Source_Cell_Text</t>
  </si>
  <si>
    <t>Notes</t>
  </si>
  <si>
    <t>Display_Mode</t>
  </si>
  <si>
    <t>Display_Group</t>
  </si>
  <si>
    <t>SC001</t>
  </si>
  <si>
    <t>Sunday</t>
  </si>
  <si>
    <t>9:30 - 12:30</t>
  </si>
  <si>
    <t>09:30</t>
  </si>
  <si>
    <t>12:30</t>
  </si>
  <si>
    <t>Meeting room 1</t>
  </si>
  <si>
    <t>Event</t>
  </si>
  <si>
    <t>E001</t>
  </si>
  <si>
    <t>Status of Mercury Policy Development, Research and Implementation in Africa</t>
  </si>
  <si>
    <t>Yes</t>
  </si>
  <si>
    <t>Daily timetable</t>
  </si>
  <si>
    <t>Workshops</t>
  </si>
  <si>
    <t>Standard</t>
  </si>
  <si>
    <t>SC002</t>
  </si>
  <si>
    <t>09:30 - 12:30</t>
  </si>
  <si>
    <t>Meeting room 2</t>
  </si>
  <si>
    <t>E037</t>
  </si>
  <si>
    <t>Practical Advances in Mercury Analysis: From Metrological Traceability to High-Precision Isotope and Speciation Techniques</t>
  </si>
  <si>
    <t>No</t>
  </si>
  <si>
    <t>Source only</t>
  </si>
  <si>
    <t>Present in source Schedule row 5; current App.jsx blanks Meeting room 2 for this time block.</t>
  </si>
  <si>
    <t>SourceOnly</t>
  </si>
  <si>
    <t>SC003</t>
  </si>
  <si>
    <t>Meeting room 3</t>
  </si>
  <si>
    <t>E038</t>
  </si>
  <si>
    <t>Lichen-based biomonitoring of mercury pollution</t>
  </si>
  <si>
    <t>Present in source Schedule row 5; current App.jsx blanks Meeting room 3 for this time block.</t>
  </si>
  <si>
    <t>SC004</t>
  </si>
  <si>
    <t>14:00 - 16:30</t>
  </si>
  <si>
    <t>14:00</t>
  </si>
  <si>
    <t>16:30</t>
  </si>
  <si>
    <t>Auditorium</t>
  </si>
  <si>
    <t>E005</t>
  </si>
  <si>
    <t>Origami artwork</t>
  </si>
  <si>
    <t>Japan Open House</t>
  </si>
  <si>
    <t>SC005</t>
  </si>
  <si>
    <t>14:00 - 17:00</t>
  </si>
  <si>
    <t>17:00</t>
  </si>
  <si>
    <t>E002</t>
  </si>
  <si>
    <t>Professional Skills for Early Career Researchers: Proposal Writing &amp; Communication on the Science-Policy Interface</t>
  </si>
  <si>
    <t>SC006</t>
  </si>
  <si>
    <t>E003</t>
  </si>
  <si>
    <t>Mercury Safety and Exposure: Best practice, latest technologies, case studies and compliance</t>
  </si>
  <si>
    <t>SC007</t>
  </si>
  <si>
    <t>E004</t>
  </si>
  <si>
    <t>Zeeman AAS (ZAAS) for direct mercury determination in samples with complex matrices</t>
  </si>
  <si>
    <t>SC008</t>
  </si>
  <si>
    <t>17:30 - 19:30</t>
  </si>
  <si>
    <t>17:30</t>
  </si>
  <si>
    <t>19:30</t>
  </si>
  <si>
    <t>E006</t>
  </si>
  <si>
    <t>Opening Ceremony</t>
  </si>
  <si>
    <t>Inauguration Programme</t>
  </si>
  <si>
    <t>SC009</t>
  </si>
  <si>
    <t>20:00 - 22:30</t>
  </si>
  <si>
    <t>20:00</t>
  </si>
  <si>
    <t>22:30</t>
  </si>
  <si>
    <t>ALL</t>
  </si>
  <si>
    <t>E007</t>
  </si>
  <si>
    <t>Networking &amp; Dinner · Welcome Reception</t>
  </si>
  <si>
    <t>Networking &amp; Dinner</t>
  </si>
  <si>
    <t>ConferenceWide</t>
  </si>
  <si>
    <t>SC010</t>
  </si>
  <si>
    <t>Monday</t>
  </si>
  <si>
    <t>9:30 - 10:30</t>
  </si>
  <si>
    <t>10:30</t>
  </si>
  <si>
    <t>E008</t>
  </si>
  <si>
    <t>Plenary (Policy)</t>
  </si>
  <si>
    <t>Plenary (Policy)                               Lead: Monica Stankiewicz</t>
  </si>
  <si>
    <t>SC011</t>
  </si>
  <si>
    <t>10:30 - 10:50</t>
  </si>
  <si>
    <t>10:50</t>
  </si>
  <si>
    <t>E009</t>
  </si>
  <si>
    <t>Coffee Break</t>
  </si>
  <si>
    <t>SC012</t>
  </si>
  <si>
    <t>10:50 - 12:50</t>
  </si>
  <si>
    <t>12:50</t>
  </si>
  <si>
    <t>Session</t>
  </si>
  <si>
    <t>S001</t>
  </si>
  <si>
    <t>Mercury Monitoring for Effectiveness Evaluation</t>
  </si>
  <si>
    <t>Session 1 (8 talks)</t>
  </si>
  <si>
    <t>Mercury monitoring for effectiveness evaluation (8)</t>
  </si>
  <si>
    <t>SC013</t>
  </si>
  <si>
    <t>Conference Room 1</t>
  </si>
  <si>
    <t>E010</t>
  </si>
  <si>
    <t>Round Table X</t>
  </si>
  <si>
    <t>SC014</t>
  </si>
  <si>
    <t>S003</t>
  </si>
  <si>
    <t>Cryosphere / Poles</t>
  </si>
  <si>
    <t>Freshwater &amp; Oceans (3)+ Cryosphere/poles (5)</t>
  </si>
  <si>
    <t>SC015</t>
  </si>
  <si>
    <t>S002</t>
  </si>
  <si>
    <t>Freshwater and Oceans</t>
  </si>
  <si>
    <t>SC016</t>
  </si>
  <si>
    <t>S004</t>
  </si>
  <si>
    <t>New Lab Analysis or Modelling Techniques</t>
  </si>
  <si>
    <t>New lab analysis or modelling techniques (8)</t>
  </si>
  <si>
    <t>SC017</t>
  </si>
  <si>
    <t>12:30 - 14:00</t>
  </si>
  <si>
    <t>E011</t>
  </si>
  <si>
    <t>Lunch + Mentorship lunch · Lunch</t>
  </si>
  <si>
    <t>Lunch + Mentorship lunch</t>
  </si>
  <si>
    <t>SC018</t>
  </si>
  <si>
    <t>14:00 - 15:45</t>
  </si>
  <si>
    <t>15:45</t>
  </si>
  <si>
    <t>S005</t>
  </si>
  <si>
    <t>Session 2 (8 talks)</t>
  </si>
  <si>
    <t>Mercury monitoring for effectiveness evaluation (7)</t>
  </si>
  <si>
    <t>SC019</t>
  </si>
  <si>
    <t>E012</t>
  </si>
  <si>
    <t>SC020</t>
  </si>
  <si>
    <t>S006</t>
  </si>
  <si>
    <t>Mercury in the Oil and Gas Industry</t>
  </si>
  <si>
    <t>Mercury in oil and gas industry	 (7)</t>
  </si>
  <si>
    <t>SC021</t>
  </si>
  <si>
    <t>S007</t>
  </si>
  <si>
    <t>Mercury Transformation and Mobilisation from Wetlands:  New Tools for an Old Question with New Urgency</t>
  </si>
  <si>
    <t>Mercury transformation and mobilization (7)</t>
  </si>
  <si>
    <t>SC022</t>
  </si>
  <si>
    <t>15:15 - 16:15</t>
  </si>
  <si>
    <t>15:15</t>
  </si>
  <si>
    <t>16:15</t>
  </si>
  <si>
    <t>E013</t>
  </si>
  <si>
    <t>SC023</t>
  </si>
  <si>
    <t>16:00 - 18:00</t>
  </si>
  <si>
    <t>16:00</t>
  </si>
  <si>
    <t>18:00</t>
  </si>
  <si>
    <t>S008</t>
  </si>
  <si>
    <t>Session 3 (8 talks) + Any discussions</t>
  </si>
  <si>
    <t>Mercury monitoring for effectiveness evaluation (2) + 30 minutes + Mercury in the Artisanal and Small-Scale Gold Mining (ASGM) Sector (3)</t>
  </si>
  <si>
    <t>SC024</t>
  </si>
  <si>
    <t>S009</t>
  </si>
  <si>
    <t>Mercury in the Artisanal and Small-Scale Gold Mining (ASGM) Sector</t>
  </si>
  <si>
    <t>SC025</t>
  </si>
  <si>
    <t>S010</t>
  </si>
  <si>
    <t>Advances in Machine Learning</t>
  </si>
  <si>
    <t>Advances in machine learning and process-based models (5) +  Award talks under Women in Science (2)</t>
  </si>
  <si>
    <t>SC026</t>
  </si>
  <si>
    <t>S011</t>
  </si>
  <si>
    <t>Award talks under Women in Science</t>
  </si>
  <si>
    <t>SC027</t>
  </si>
  <si>
    <t>S012</t>
  </si>
  <si>
    <t>Mercury in Geological Processes</t>
  </si>
  <si>
    <t>Mercury in geological processes (8)</t>
  </si>
  <si>
    <t>SC028</t>
  </si>
  <si>
    <t>17:30 - 18:30</t>
  </si>
  <si>
    <t>18:30</t>
  </si>
  <si>
    <t>E040</t>
  </si>
  <si>
    <t>Exco &amp; SSC meeting</t>
  </si>
  <si>
    <t>17:30 - 18:30 : Exco &amp; SSC meeting</t>
  </si>
  <si>
    <t>Removed from 5 October by current App.jsx; separate 8 October conference wrap remains active.</t>
  </si>
  <si>
    <t>SC029</t>
  </si>
  <si>
    <t>18:30 - 20:00</t>
  </si>
  <si>
    <t>E039</t>
  </si>
  <si>
    <t>Women's event</t>
  </si>
  <si>
    <t>Special Event</t>
  </si>
  <si>
    <t>Old standalone Women's Event removed by current App.jsx.</t>
  </si>
  <si>
    <t>SC030</t>
  </si>
  <si>
    <t>18:45 - 20:15</t>
  </si>
  <si>
    <t>18:45</t>
  </si>
  <si>
    <t>20:15</t>
  </si>
  <si>
    <t>E036</t>
  </si>
  <si>
    <t>Women in Science Event</t>
  </si>
  <si>
    <t>Session modal</t>
  </si>
  <si>
    <t>Award talks under Women in Science (2)</t>
  </si>
  <si>
    <t>Current App.jsx stores this as a third award-style record; normalized as an event separate from the two award talks.</t>
  </si>
  <si>
    <t>SC031</t>
  </si>
  <si>
    <t>Tuesday</t>
  </si>
  <si>
    <t>E014</t>
  </si>
  <si>
    <t>Kumamoto Prefecture, Minamata Talk - Part 1</t>
  </si>
  <si>
    <t>Keynote:                                                    Dr. Masami Ogata</t>
  </si>
  <si>
    <t>SC032</t>
  </si>
  <si>
    <t>E015</t>
  </si>
  <si>
    <t>SC033</t>
  </si>
  <si>
    <t>S013</t>
  </si>
  <si>
    <t>Mercury in the Southern Hemisphere</t>
  </si>
  <si>
    <t>Mercury in the Southern Hemisphere (8)</t>
  </si>
  <si>
    <t>SC034</t>
  </si>
  <si>
    <t>E016</t>
  </si>
  <si>
    <t>SC035</t>
  </si>
  <si>
    <t>S014</t>
  </si>
  <si>
    <t>Mercury in the Artisanal and Small-Scale Gold Mining (ASGM) Sector (8)</t>
  </si>
  <si>
    <t>SC036</t>
  </si>
  <si>
    <t>S016</t>
  </si>
  <si>
    <t>Atmosphere</t>
  </si>
  <si>
    <t>Mercury in geological processes (2) + Atmosphere (4)</t>
  </si>
  <si>
    <t>SC037</t>
  </si>
  <si>
    <t>S015</t>
  </si>
  <si>
    <t>SC038</t>
  </si>
  <si>
    <t>E017</t>
  </si>
  <si>
    <t>Lunch</t>
  </si>
  <si>
    <t>SC039</t>
  </si>
  <si>
    <t>S018</t>
  </si>
  <si>
    <t>Mercury and Selenium in Living Organisms: Insights from Marine to Amazonian Studies</t>
  </si>
  <si>
    <t>Session 2 (7 talks)</t>
  </si>
  <si>
    <t>Mercury in the Southern Hemisphere (5) + Mercury and Selenium: Insights from Marine to Amazonian Studies(2)</t>
  </si>
  <si>
    <t>SC040</t>
  </si>
  <si>
    <t>S017</t>
  </si>
  <si>
    <t>SC041</t>
  </si>
  <si>
    <t>E018</t>
  </si>
  <si>
    <t>SC042</t>
  </si>
  <si>
    <t>S019</t>
  </si>
  <si>
    <t>Toxic Trail of Beauty</t>
  </si>
  <si>
    <t>The Toxic Trail of Beauty: Unpacking Mercury in Cosmetics through Data and Action (7)</t>
  </si>
  <si>
    <t>SC043</t>
  </si>
  <si>
    <t>S020</t>
  </si>
  <si>
    <t>Atmosphere (6)</t>
  </si>
  <si>
    <t>SC044</t>
  </si>
  <si>
    <t>E019</t>
  </si>
  <si>
    <t>SC045</t>
  </si>
  <si>
    <t>15:45 - 16:45</t>
  </si>
  <si>
    <t>16:45</t>
  </si>
  <si>
    <t>E020</t>
  </si>
  <si>
    <t>COMPLEXion of Change event</t>
  </si>
  <si>
    <t>Session 3 (8 talks)</t>
  </si>
  <si>
    <t>15:45 - 16:45: COMPLEXion of Change event. 16:45-18:30: The Toxic Trail of Beauty: Unpacking Mercury in Cosmetics through Data and Action (6)</t>
  </si>
  <si>
    <t>Displayed as the first item in the stacked Meeting room 1 cell.</t>
  </si>
  <si>
    <t>Stacked</t>
  </si>
  <si>
    <t>16:00 - 18:00|Meeting room 1</t>
  </si>
  <si>
    <t>SC046</t>
  </si>
  <si>
    <t>S021</t>
  </si>
  <si>
    <t>Mercury and Selenium in Living Organisms: Insights from Marine to Amazonian Studies (8)</t>
  </si>
  <si>
    <t>SC047</t>
  </si>
  <si>
    <t>E021</t>
  </si>
  <si>
    <t>Kumamoto Prefecture, Minamata Talk - Part 2</t>
  </si>
  <si>
    <t>SC048</t>
  </si>
  <si>
    <t>S022</t>
  </si>
  <si>
    <t>Environmental Modelling of Mercury to Inform International Policy</t>
  </si>
  <si>
    <t>Environmental modelling of mercury to inform international policy (6)</t>
  </si>
  <si>
    <t>SC049</t>
  </si>
  <si>
    <t>16:45 - 18:15</t>
  </si>
  <si>
    <t>18:15</t>
  </si>
  <si>
    <t>S037</t>
  </si>
  <si>
    <t>The Toxic Trail of Beauty: Unpacking Mercury in Cosmetics through Data and Action</t>
  </si>
  <si>
    <t>Normalized from stacked current web display; current web time is 16:45-18:15.</t>
  </si>
  <si>
    <t>SC050</t>
  </si>
  <si>
    <t>Wednesday</t>
  </si>
  <si>
    <t>18:00 to 20:00</t>
  </si>
  <si>
    <t>E023</t>
  </si>
  <si>
    <t>COMPLEXion of Change event @ Goethe-Zentrum Hyderabad</t>
  </si>
  <si>
    <t>SpecialCard</t>
  </si>
  <si>
    <t>SC051</t>
  </si>
  <si>
    <t>Full day:</t>
  </si>
  <si>
    <t>E022</t>
  </si>
  <si>
    <t>City tours (full-day, half-day, city-drop off in morning)</t>
  </si>
  <si>
    <t>SC052</t>
  </si>
  <si>
    <t>Thursday</t>
  </si>
  <si>
    <t>E024</t>
  </si>
  <si>
    <t>Plenary (Human Health)</t>
  </si>
  <si>
    <t>Plenary (Human Health):                       Lead: Elena Jardan</t>
  </si>
  <si>
    <t>SC053</t>
  </si>
  <si>
    <t>E025</t>
  </si>
  <si>
    <t>SC054</t>
  </si>
  <si>
    <t>S023</t>
  </si>
  <si>
    <t>Human Biomonitoring of Mercury: A Global Tool for Health and Policy</t>
  </si>
  <si>
    <t>Human Biomonitoring (8)</t>
  </si>
  <si>
    <t>SC055</t>
  </si>
  <si>
    <t>E026</t>
  </si>
  <si>
    <t>SC056</t>
  </si>
  <si>
    <t>S024</t>
  </si>
  <si>
    <t>Marine Mercury Research in the GEOTRACES</t>
  </si>
  <si>
    <t>Marine Mercury Research in the GEOTRACES (8)</t>
  </si>
  <si>
    <t>SC057</t>
  </si>
  <si>
    <t>S025</t>
  </si>
  <si>
    <t>Mercury and Biodiversity: Connecting Science with Global Policy</t>
  </si>
  <si>
    <t>Mercury and biodiversity (8)</t>
  </si>
  <si>
    <t>SC058</t>
  </si>
  <si>
    <t>E027</t>
  </si>
  <si>
    <t>SC059</t>
  </si>
  <si>
    <t>S026</t>
  </si>
  <si>
    <t>Environmental Health</t>
  </si>
  <si>
    <t>Environmental Health (7)</t>
  </si>
  <si>
    <t>SC060</t>
  </si>
  <si>
    <t>S027</t>
  </si>
  <si>
    <t>Marine Mercury Research in the GEOTRACES  (4) + Science Policy Interface (4)</t>
  </si>
  <si>
    <t>SC061</t>
  </si>
  <si>
    <t>S028</t>
  </si>
  <si>
    <t>Science Policy Interface</t>
  </si>
  <si>
    <t>SC062</t>
  </si>
  <si>
    <t>S030</t>
  </si>
  <si>
    <t>Land and Vegetation</t>
  </si>
  <si>
    <t>Mercury and biodiversity (5)  + Land and Vegetation (1)</t>
  </si>
  <si>
    <t>SC063</t>
  </si>
  <si>
    <t>S029</t>
  </si>
  <si>
    <t>SC064</t>
  </si>
  <si>
    <t>15:15 - 16:00</t>
  </si>
  <si>
    <t>Auditorium; Meeting room 1; Meeting room 2</t>
  </si>
  <si>
    <t>E028</t>
  </si>
  <si>
    <t>Coffee break spans all rooms before the excluded host-presentation room.</t>
  </si>
  <si>
    <t>PartialMerge</t>
  </si>
  <si>
    <t>SC065</t>
  </si>
  <si>
    <t>E029</t>
  </si>
  <si>
    <t>Presentation for ICMGP 2030 host</t>
  </si>
  <si>
    <t>SC066</t>
  </si>
  <si>
    <t>S031</t>
  </si>
  <si>
    <t>Environmental (3) &amp; Human Health (2)</t>
  </si>
  <si>
    <t>SC067</t>
  </si>
  <si>
    <t>S032</t>
  </si>
  <si>
    <t>Human Health</t>
  </si>
  <si>
    <t>SC068</t>
  </si>
  <si>
    <t>S034</t>
  </si>
  <si>
    <t>Mercury (and Lead) in the Ayurvedic Traditional Medicines</t>
  </si>
  <si>
    <t>Science Policy Interface (3) +  Mercury (and lead) in the Ayurvedic tradition medicines (5)</t>
  </si>
  <si>
    <t>SC069</t>
  </si>
  <si>
    <t>S033</t>
  </si>
  <si>
    <t>SC070</t>
  </si>
  <si>
    <t>S035</t>
  </si>
  <si>
    <t>Land and Vegetation (2) + Mercury biogeochemical cycling in forest (6)</t>
  </si>
  <si>
    <t>SC071</t>
  </si>
  <si>
    <t>S036</t>
  </si>
  <si>
    <t>Mercury Biogeochemical Cycling in Forests</t>
  </si>
  <si>
    <t>SC072</t>
  </si>
  <si>
    <t>E030</t>
  </si>
  <si>
    <t>Exco and SSC conference wrap</t>
  </si>
  <si>
    <t>SC073</t>
  </si>
  <si>
    <t>20:00 - 23:00</t>
  </si>
  <si>
    <t>23:00</t>
  </si>
  <si>
    <t>E031</t>
  </si>
  <si>
    <t>GALA DINNER</t>
  </si>
  <si>
    <t>SC074</t>
  </si>
  <si>
    <t>Friday</t>
  </si>
  <si>
    <t>E032</t>
  </si>
  <si>
    <t>Plenary (Mercury in Emerging Countries)</t>
  </si>
  <si>
    <t>Plenary (Emerging countries):                  Lead: Lynwill Martin</t>
  </si>
  <si>
    <t>SC075</t>
  </si>
  <si>
    <t>E033</t>
  </si>
  <si>
    <t>SC076</t>
  </si>
  <si>
    <t>10:50 - 12:00</t>
  </si>
  <si>
    <t>12:00</t>
  </si>
  <si>
    <t>E034</t>
  </si>
  <si>
    <t>Valedictory Function</t>
  </si>
  <si>
    <t>Closing Ceremony</t>
  </si>
  <si>
    <t>SC077</t>
  </si>
  <si>
    <t>15:00 - 16:30</t>
  </si>
  <si>
    <t>15:00</t>
  </si>
  <si>
    <t>E035</t>
  </si>
  <si>
    <t>KUMAMOTO PREFECTURE EVENT FOR IIT HYDERABAD STUDENTS</t>
  </si>
  <si>
    <t>Kumamoto Prefecture Event for IIT Hyderabad and other non-ICMGP Students</t>
  </si>
  <si>
    <t>Session_ID</t>
  </si>
  <si>
    <t>Block_Time</t>
  </si>
  <si>
    <t>Display_Name</t>
  </si>
  <si>
    <t>Reference_Name</t>
  </si>
  <si>
    <t>Session_Type</t>
  </si>
  <si>
    <t>Chair_s</t>
  </si>
  <si>
    <t>Presentation_Count</t>
  </si>
  <si>
    <t>Source_Schedule_Count</t>
  </si>
  <si>
    <t>App_Code_Expected_Count</t>
  </si>
  <si>
    <t>Source_Sheet</t>
  </si>
  <si>
    <t>Source_Session_Name</t>
  </si>
  <si>
    <t>Source_Session_Type</t>
  </si>
  <si>
    <t>Source_Chair_s</t>
  </si>
  <si>
    <t>Mercury monitoring for effectiveness evaluation</t>
  </si>
  <si>
    <t>Special Session</t>
  </si>
  <si>
    <t>Tatsuya Hattori, Eisaku Toda, Noriyuki Suzuki, Dominique Bally Kpokro</t>
  </si>
  <si>
    <t>Effectiveness Evaluation</t>
  </si>
  <si>
    <t>Daily timetable + session modal</t>
  </si>
  <si>
    <t>Freshwater &amp; Oceans</t>
  </si>
  <si>
    <t>General Session</t>
  </si>
  <si>
    <t>Cryosphere/poles</t>
  </si>
  <si>
    <t>Cryosphere_poles</t>
  </si>
  <si>
    <t>New lab analysis or modelling techniques</t>
  </si>
  <si>
    <t>New_techniques</t>
  </si>
  <si>
    <t>Current App.jsx code expected count=8; normalized count uses actual linked presentations=7.</t>
  </si>
  <si>
    <t>Mercury in oil and gas industry</t>
  </si>
  <si>
    <t>David Hunter, Stuart Baker</t>
  </si>
  <si>
    <t>Oil and Gas</t>
  </si>
  <si>
    <t>Mercury transformation and mobilization</t>
  </si>
  <si>
    <t>Kevin Bishop, Chuxian Li, Colin McCarter</t>
  </si>
  <si>
    <t>Transformations and mobilizatio</t>
  </si>
  <si>
    <t>Current App.jsx code expected count=1; normalized count uses actual linked presentations=2.</t>
  </si>
  <si>
    <t>Malgorzata Alicja Stylo, Eisaku Toda</t>
  </si>
  <si>
    <t>ASGM and gold mining_05Oct</t>
  </si>
  <si>
    <t>Advances in machine learning and process-based models</t>
  </si>
  <si>
    <t>Lei Zhang, Yanxu Zhang, Huan Zhong</t>
  </si>
  <si>
    <t>Women in Science Event (18:45-20:15) stored separately in Events; only two award talks belong to this session block. Current App.jsx code expected count=3; normalized count uses actual linked presentations=2.</t>
  </si>
  <si>
    <t>Mercury in geological processes</t>
  </si>
  <si>
    <t>Nikolay Mashyanov, Pablo Higueras</t>
  </si>
  <si>
    <t>Geologic_processe _5_OCT</t>
  </si>
  <si>
    <t>Monray Belelie, María C. Diéguez, Larissa Schneider, Lynwill Martin, Chavon Walte</t>
  </si>
  <si>
    <t>Southern Hemisphere</t>
  </si>
  <si>
    <t>ASGM and gold mining_06Oct</t>
  </si>
  <si>
    <t>Geologic_processes_6_OCT</t>
  </si>
  <si>
    <t>Mercury and Selenium: Insights from Marine to Amazonian Studies</t>
  </si>
  <si>
    <t>Rosa Carmen Rodríguez Martín-Doimeadios, Maria Elena Crespo-López, Zoyne Pedrero Zayas</t>
  </si>
  <si>
    <t>Selenium</t>
  </si>
  <si>
    <t>Malgorzata Alicja Stylo, Eisaku Toda, Grace Halla, David Evers</t>
  </si>
  <si>
    <t>Environmental modelling of mercury to inform international policy</t>
  </si>
  <si>
    <t>Ari Feinberg, Eric Roy, Oleg Travnikon</t>
  </si>
  <si>
    <t>Environ Modelling Policy</t>
  </si>
  <si>
    <t>Human Biomonitoring</t>
  </si>
  <si>
    <t>Milena Horvat, Janja Snoj Tratnik</t>
  </si>
  <si>
    <t>Carl Lamborg, Lars-Eric, Heimburger-Boavida</t>
  </si>
  <si>
    <t>Mercury GEOTRACES</t>
  </si>
  <si>
    <t>Mercury and biodiversity</t>
  </si>
  <si>
    <t>David Evers, Malgorzata Alicja Stylo</t>
  </si>
  <si>
    <t>Biodiversity</t>
  </si>
  <si>
    <t>Environmental_Health</t>
  </si>
  <si>
    <t>Eisaku Toda</t>
  </si>
  <si>
    <t>Science policy interface</t>
  </si>
  <si>
    <t>Land and vegetation</t>
  </si>
  <si>
    <t>Environmental</t>
  </si>
  <si>
    <t>Human health</t>
  </si>
  <si>
    <t>Source schedule count=2; normalized active presentation count=3.</t>
  </si>
  <si>
    <t>Mercury (and lead) in the Ayurvedic tradition medicines</t>
  </si>
  <si>
    <t>Special Session Convenors</t>
  </si>
  <si>
    <t>Peter Maxon</t>
  </si>
  <si>
    <t>Ayurveda</t>
  </si>
  <si>
    <t>Mercury biogeochemical cycling in forest</t>
  </si>
  <si>
    <t>Xinbin Feng, Jen-How Huang</t>
  </si>
  <si>
    <t>Forests</t>
  </si>
  <si>
    <t>Current web UI displays this session as 16:45-18:15; source Schedule cell ends at 18:30. The six presentation times end at 18:15.</t>
  </si>
  <si>
    <t>Presentation_ID</t>
  </si>
  <si>
    <t>Presentation_Type</t>
  </si>
  <si>
    <t>Status</t>
  </si>
  <si>
    <t>Display_Date</t>
  </si>
  <si>
    <t>Display_Time</t>
  </si>
  <si>
    <t>Abstract_ID</t>
  </si>
  <si>
    <t>Title</t>
  </si>
  <si>
    <t>Lead_Author</t>
  </si>
  <si>
    <t>Co_Authors</t>
  </si>
  <si>
    <t>Abstract_Category</t>
  </si>
  <si>
    <t>Review_Status</t>
  </si>
  <si>
    <t>Source_Row</t>
  </si>
  <si>
    <t>Source_Date_s</t>
  </si>
  <si>
    <t>Source_Location</t>
  </si>
  <si>
    <t>Source_Time</t>
  </si>
  <si>
    <t>Source_Title</t>
  </si>
  <si>
    <t>Source_Lead_Author</t>
  </si>
  <si>
    <t>Source_Co_Authors</t>
  </si>
  <si>
    <t>P001</t>
  </si>
  <si>
    <t>Oral</t>
  </si>
  <si>
    <t>Active</t>
  </si>
  <si>
    <t>2026-10-06</t>
  </si>
  <si>
    <t>16:00-16:15</t>
  </si>
  <si>
    <t>146</t>
  </si>
  <si>
    <t>Global Mercury Cycling and Trends: A Multi-Model Assessment in Support of the Minamata Convention</t>
  </si>
  <si>
    <t>Oleg Travnikov</t>
  </si>
  <si>
    <t>Hélène Angot, Johannes Bieser, Flora Brocza, Ashu Dastoor, Aryeh Feinberg, Jan Gačnik, Ling Li, Jerry Lin, Eric Roy, Andrei Ryjkov, Anne Soerensen, Xun Wang, Yanxu Zhang</t>
  </si>
  <si>
    <t>Meeting Room 2</t>
  </si>
  <si>
    <t>P002</t>
  </si>
  <si>
    <t>16:15-16:30</t>
  </si>
  <si>
    <t>59</t>
  </si>
  <si>
    <t>Atmospheric Oxidant Variability Reshapes Future Global Mercury Load</t>
  </si>
  <si>
    <t>Hema Bhatt</t>
  </si>
  <si>
    <t>Asif Qureshi</t>
  </si>
  <si>
    <t>P003</t>
  </si>
  <si>
    <t>16:30-16:45</t>
  </si>
  <si>
    <t>240</t>
  </si>
  <si>
    <t>Modelling the Role of Dimethylmercury on Hg Air-Sea Exchange</t>
  </si>
  <si>
    <t>Johannes Bieser</t>
  </si>
  <si>
    <t>Ari Feinbergq</t>
  </si>
  <si>
    <t>P004</t>
  </si>
  <si>
    <t>16:45-17:00</t>
  </si>
  <si>
    <t>157</t>
  </si>
  <si>
    <t>Recent Trends of Anthropogenic Atmospheric Mercury Emissions and Concentrations in China</t>
  </si>
  <si>
    <t>Hezhong Tian</t>
  </si>
  <si>
    <t>P005</t>
  </si>
  <si>
    <t>17:00-17:15</t>
  </si>
  <si>
    <t>116</t>
  </si>
  <si>
    <t>Long-Term Mercury Remobilisation from Southern Baltic Sediments Under Recurring Resuspension Events</t>
  </si>
  <si>
    <t>Jacek Bełdowski</t>
  </si>
  <si>
    <t>Agnieszka Jędruch, Jaromir Jakacki</t>
  </si>
  <si>
    <t>P006</t>
  </si>
  <si>
    <t>17:15-17:30</t>
  </si>
  <si>
    <t>Offline</t>
  </si>
  <si>
    <t>Rethinking Future Mercury in Fish: Bridging Model Predictions with Observations Under Global Emission Scenarios</t>
  </si>
  <si>
    <t>Henna Gull</t>
  </si>
  <si>
    <t>Ju Hyeon Lee, Hoin Lee, Hélène Angot, and Sae Yun Kwon</t>
  </si>
  <si>
    <t>P007</t>
  </si>
  <si>
    <t>Poster</t>
  </si>
  <si>
    <t>2026-10-04 to 2026-10-09</t>
  </si>
  <si>
    <t>57</t>
  </si>
  <si>
    <t>Climate-Driven Variability in the Global Mercury Cycle: Long-Term Warming and ENSO Effects in a Coupled Atmosphere–Ocean–Land Mercury Model</t>
  </si>
  <si>
    <t>Toru Kawai</t>
  </si>
  <si>
    <t>P008</t>
  </si>
  <si>
    <t>77</t>
  </si>
  <si>
    <t>Development of a Hg Flux Prediction Model From Unsaturated Soils: An Approach Considering Multiple Hg Species and their Potential of  Volatilisation</t>
  </si>
  <si>
    <t>Monami Kondo</t>
  </si>
  <si>
    <t>Yasuhide Sakamoto, Junko Hara</t>
  </si>
  <si>
    <t>P009</t>
  </si>
  <si>
    <t>2026-10-05</t>
  </si>
  <si>
    <t>16:00 - 16:15</t>
  </si>
  <si>
    <t>120</t>
  </si>
  <si>
    <t>Bidirectional Air-Surface Exchange of Gaseous Elemental Mercury Reshapes the Global Mercury Budget</t>
  </si>
  <si>
    <t>Shuxiao Wang</t>
  </si>
  <si>
    <t>Yuying Cui, Eric M. Roy, Noelle E. Selin, Qingru Wu</t>
  </si>
  <si>
    <t>Meeting Room 1</t>
  </si>
  <si>
    <t>P010</t>
  </si>
  <si>
    <t>16:15 - 16:30</t>
  </si>
  <si>
    <t>126</t>
  </si>
  <si>
    <t>Quantifying the Role of Chemistry, Surface Exchange, and Transport on the Hemispheric Variability of Mercury (Hg)</t>
  </si>
  <si>
    <t>Eric M. Roy</t>
  </si>
  <si>
    <t>Noelle E. Selin</t>
  </si>
  <si>
    <t>P011</t>
  </si>
  <si>
    <t>16:30 - 16:45</t>
  </si>
  <si>
    <t>258</t>
  </si>
  <si>
    <t>Advances In the Global Multimedia Modelling of Mercury: Model Improvements and Constraining of Inputs Using MCMC</t>
  </si>
  <si>
    <t>Vikas Meena</t>
  </si>
  <si>
    <t>P012</t>
  </si>
  <si>
    <t>16:45 - 17:00</t>
  </si>
  <si>
    <t>151</t>
  </si>
  <si>
    <t>Mercury Emission Estimates and Cycling Simulations from Global Wildfires</t>
  </si>
  <si>
    <t>Long Chen</t>
  </si>
  <si>
    <t>P013</t>
  </si>
  <si>
    <t>17:00 - 17:15</t>
  </si>
  <si>
    <t>153</t>
  </si>
  <si>
    <t>Beyond Emission Reductions: The Growing Role of Climate Change in Shaping Long-Term Atmospheric Mercury Trends</t>
  </si>
  <si>
    <t>Lei Zhang</t>
  </si>
  <si>
    <t>Xia Liu, Jialin Zhang, Jingmeng Jin, Daniel Jaffe, Guichen Zhang, Weikang Zhang, Peisheng Zhou, Yu Zhao</t>
  </si>
  <si>
    <t>P014</t>
  </si>
  <si>
    <t>2026-10-08</t>
  </si>
  <si>
    <t>10:50-11:05</t>
  </si>
  <si>
    <t>87</t>
  </si>
  <si>
    <t>Comparative Study of Child Anthropometry and Mercury Exposure in Coastal and ASGM Areas of Indonesia</t>
  </si>
  <si>
    <t>Muflihatul Muniroh</t>
  </si>
  <si>
    <t>Aisyah Aisyah, Gabriela Rolanda, Saekhol Bakri, Ziyadatun Nabila, Megumi Yamamoto, 
Chihaya Koriyama</t>
  </si>
  <si>
    <t>P015</t>
  </si>
  <si>
    <t>11:05-11:20</t>
  </si>
  <si>
    <t>1065</t>
  </si>
  <si>
    <t>Human Biomonitoring of Mercury Exposure in a Vulnerable Population: Levels, Trends, Sources, and Economic Impacts</t>
  </si>
  <si>
    <t>Brij Mohan Sharma</t>
  </si>
  <si>
    <t>Brij Mohan Sharma, Sona Smetanova, Jiri Kalina, Jan Kuta, Petra Pribylová, Pavel Piller,
 Lenka Andryskova, Martin Scheringer, Jana Klanova, Klara Komprdova</t>
  </si>
  <si>
    <t>P016</t>
  </si>
  <si>
    <t>11:20-11:35</t>
  </si>
  <si>
    <t>117</t>
  </si>
  <si>
    <t>Probabilistic Health Risk Assessment of Multi-Pathway Mercury Exposure in Children from the Legacy Mercury Mining District of Idrija, Slovenia</t>
  </si>
  <si>
    <t>Adna Alilović Osolin</t>
  </si>
  <si>
    <t>Janja Snoj Tratnik, Tome Eftimov, Milena Horvat</t>
  </si>
  <si>
    <t>P017</t>
  </si>
  <si>
    <t>11:35-11:50</t>
  </si>
  <si>
    <t>192</t>
  </si>
  <si>
    <t>Mercury–Selenium Interactions from Exposure to Molecular Response: Integrating Toxicokinetics, Redox Biomarkers and Omics Evidence in Human Populations</t>
  </si>
  <si>
    <t>Milena Horvat</t>
  </si>
  <si>
    <t>Janja Snoj Tratnik, Adna Alilović Osolin, Ingrid Falnoga, Darja Mazej, Fernando Barbosa Jr</t>
  </si>
  <si>
    <t>P018</t>
  </si>
  <si>
    <t>11:50-12:05</t>
  </si>
  <si>
    <t>198</t>
  </si>
  <si>
    <t>Placental Metal (Loid)S in Cohorts from Hg-Mining and Control Environments</t>
  </si>
  <si>
    <t>Ingrid Falnoga</t>
  </si>
  <si>
    <t>Veronika Tursunova, Janja Snoj Tratnik, Darja Mazej, Marta Jagodic Hudabivnik, 
Peter Stegnar, Milena Horvat, Rustam Tuhvatshin, Zhanibek Muratov</t>
  </si>
  <si>
    <t>P019</t>
  </si>
  <si>
    <t>12:05-12:20</t>
  </si>
  <si>
    <t>208</t>
  </si>
  <si>
    <t>Human Biomonitoring Reveals High Mercury Exposure in Amazonian Communities Under Emerging ASGM Pressure</t>
  </si>
  <si>
    <t>Claudia Vega</t>
  </si>
  <si>
    <t>Jessica Pisconte, Tatiana Garcia, Luis Fernandez, Claus Garcia</t>
  </si>
  <si>
    <t>P020</t>
  </si>
  <si>
    <t>12:20-12:35</t>
  </si>
  <si>
    <t>250</t>
  </si>
  <si>
    <t>Strengthening Health Aspects of the Minamata Convention on Mercury</t>
  </si>
  <si>
    <t>Yuyun Ismawati</t>
  </si>
  <si>
    <t>Yune Eribowo, Anantka Annisa, Panca D. Astuti</t>
  </si>
  <si>
    <t>P021</t>
  </si>
  <si>
    <t>12:35-12:50</t>
  </si>
  <si>
    <t>264</t>
  </si>
  <si>
    <t>Field Lab for Mercury Analysis of Amazonian Indigenous Hair, Brazil</t>
  </si>
  <si>
    <t>Zuleica Carmen Castilhos</t>
  </si>
  <si>
    <t>Jessica Z. Ramos, Thainá Farinchon, Líllian M. Domingos, Thaís K. Queiróz; 
Lorena C. Mendes</t>
  </si>
  <si>
    <t>P022</t>
  </si>
  <si>
    <t>Superseded by display override</t>
  </si>
  <si>
    <t>34</t>
  </si>
  <si>
    <t>Forty-Five Years Trying to Eliminate Mercury in Artisanal Gold Mining: Frustrations and Accomplishments</t>
  </si>
  <si>
    <t>Marcello M. Veiga</t>
  </si>
  <si>
    <t>ASGM and gold mining_all</t>
  </si>
  <si>
    <t>2026-10-05; 2026-10-06</t>
  </si>
  <si>
    <t>Auditorium &amp; Meeting Room 1</t>
  </si>
  <si>
    <t>Combined reference sheet; current App.jsx uses dated split sheets for oral programme display. Current App.jsx uses a manual occurrence override for this abstract.</t>
  </si>
  <si>
    <t>P023</t>
  </si>
  <si>
    <t>Reference only</t>
  </si>
  <si>
    <t>35</t>
  </si>
  <si>
    <t>A Study of Mercury and Gold Losses at Two Artisanal Gold Mining and Processing Sites in Nigeria</t>
  </si>
  <si>
    <t>Nnamdi C. Anene</t>
  </si>
  <si>
    <t>Marcello M. Veiga, Bern Klein</t>
  </si>
  <si>
    <t>Combined reference sheet; current App.jsx uses dated split sheets for oral programme display.</t>
  </si>
  <si>
    <t>P024</t>
  </si>
  <si>
    <t>84</t>
  </si>
  <si>
    <t>Law Enforcement and Its Challenges in Implementing the Minamata Convention on Mercury in Indonesia</t>
  </si>
  <si>
    <t>Dyah Paramita</t>
  </si>
  <si>
    <t>Yuyun Ismawati, Marsya Mutmainah Handayani, Krishna Zaki</t>
  </si>
  <si>
    <t>P025</t>
  </si>
  <si>
    <t>88</t>
  </si>
  <si>
    <t>Distribution, Speciation and Exports of Mercury in a Restored Gold-Mined Amazonian Watershed (French Guiana)</t>
  </si>
  <si>
    <t>Naomi  Nitschke</t>
  </si>
  <si>
    <t>Stéphane Guedron, Jennifer Harris, Emmanuel Tessier, 
Sylvain Campillo, Elaheh Lotfi, David Amouroux</t>
  </si>
  <si>
    <t>P026</t>
  </si>
  <si>
    <t>94</t>
  </si>
  <si>
    <t>Evidence of Mercury Contamination by Gold Mining Activities in a Large Amazonian Watershed Using Stable Isotopes: Tracking Mercury Sources In The Maroni River Sediments (French Guiana/Surinam)</t>
  </si>
  <si>
    <t>Elaheh Lotfi-Kalahroodi</t>
  </si>
  <si>
    <t>N. Nitschke, E. Tessier, S. Campillo, A.Thibault de Chanvalon,
 C. Gautheron, S. Guédron, D. Amouroux</t>
  </si>
  <si>
    <t>P027</t>
  </si>
  <si>
    <t>131</t>
  </si>
  <si>
    <t>Model of Mercury Exposure Controlling on Communities   Surrounding Artisanal Small-Scale Gold Mining in Sukabumi,  Indonesia</t>
  </si>
  <si>
    <t>Alfonsus H. Harianja</t>
  </si>
  <si>
    <t>Haryoto Kusnoputranto, Tri Edhi Budhi Soesilo</t>
  </si>
  <si>
    <t>P028</t>
  </si>
  <si>
    <t>210</t>
  </si>
  <si>
    <t>A Participatory Framework for Artisanal and Small-Scale Gold Mining Site Rehabilitation and Livelihood Generation on the Guiana Shield</t>
  </si>
  <si>
    <t>Boudewijn Fokke (BFSC, The Netherlands), Marcel R. Hoosbeek
 (Soil Chemistry, Wageningen University, The Netherlands), Jasper Wisman (TAUW, The Netherlands), Anwar Helstone (CELOS, Suriname), Guido van de Coterlet (TAUW).</t>
  </si>
  <si>
    <t>P029</t>
  </si>
  <si>
    <t>233</t>
  </si>
  <si>
    <t>Primary Mercury Mining Worldwide: Taking Stock of the Situation Ten Years After the Minamata Convention Entered into Force</t>
  </si>
  <si>
    <t>Romain Taravella</t>
  </si>
  <si>
    <t>P030</t>
  </si>
  <si>
    <t>249</t>
  </si>
  <si>
    <t>Strengthening the Minamata Convention for the Effectiveness of Ending Mercury Use in the Artisanal and Small-Scale Gold Mining Sector</t>
  </si>
  <si>
    <t>Lee Bell, Gilbert Kuepouo</t>
  </si>
  <si>
    <t>P031</t>
  </si>
  <si>
    <t>193</t>
  </si>
  <si>
    <t>What National Reports can Tell on Artisanal and Small-Scale Gold Mining</t>
  </si>
  <si>
    <t>P032</t>
  </si>
  <si>
    <t>204</t>
  </si>
  <si>
    <t>Measuring What Matters: Evidence-Based Approaches for Tracking Mercury Reduction in ASGM Under Article 7 and National Action Plans</t>
  </si>
  <si>
    <t>Anne Lillian Nakafeero</t>
  </si>
  <si>
    <t>Stylo Malgorzata &amp; Thomas Verbaere</t>
  </si>
  <si>
    <t>P033</t>
  </si>
  <si>
    <t>239</t>
  </si>
  <si>
    <t>Review of Implementation of Article 7</t>
  </si>
  <si>
    <t>Thomas Verbaere</t>
  </si>
  <si>
    <t>Malgorzata Stylo</t>
  </si>
  <si>
    <t>P034</t>
  </si>
  <si>
    <t>What National Reports Can Tell on Artisanal and Small-Scale Gold Mining</t>
  </si>
  <si>
    <t>P035</t>
  </si>
  <si>
    <t>P036</t>
  </si>
  <si>
    <t>17:30-17:45</t>
  </si>
  <si>
    <t>Measuring What Matters: Evidence-Based Approaches for Tracking Mercury Reduction in ASGM under Article 7 and National Action Plans</t>
  </si>
  <si>
    <t>P037</t>
  </si>
  <si>
    <t>Forty-five Year Trying to Eliminate Mercury in Artisanal Gold Mining: Frustrations and Accomplishments</t>
  </si>
  <si>
    <t>17:45-18:00</t>
  </si>
  <si>
    <t>Parsed by current app but replaced or not linked in the final web session mapping. Current App.jsx uses a manual occurrence override for this abstract.</t>
  </si>
  <si>
    <t>P038</t>
  </si>
  <si>
    <t>A Study of Mercury and Gold Losses at Two Artisanal Gold Mining And Processing Sites in Nigeria</t>
  </si>
  <si>
    <t>P039</t>
  </si>
  <si>
    <t>1111:05-11:20</t>
  </si>
  <si>
    <t>P040</t>
  </si>
  <si>
    <t>Model of Mercury Exposure Controlling on Communities  Surrounding Artisanal Small-Scale Gold Mining in Sukabumi,  Indonesia</t>
  </si>
  <si>
    <t>P041</t>
  </si>
  <si>
    <t>Naomi NITSCHKE</t>
  </si>
  <si>
    <t>P042</t>
  </si>
  <si>
    <t>Evidence of Mercury Contamination by Gold Mining Activities in a Large Amazonian Watershed Using Stable Isotopes: Tracking Mercury Sources in the Maroni River Sediments (French Guiana/Surinam)</t>
  </si>
  <si>
    <t>P043</t>
  </si>
  <si>
    <t>P044</t>
  </si>
  <si>
    <t>P045</t>
  </si>
  <si>
    <t>10:50- 11:05</t>
  </si>
  <si>
    <t>241</t>
  </si>
  <si>
    <t>Mercury in the South Pacific Ocean</t>
  </si>
  <si>
    <t>Lars-Eric Heimbürger-Boavida</t>
  </si>
  <si>
    <t>Alina Kleindienst, Eric Achterberg</t>
  </si>
  <si>
    <t>P046</t>
  </si>
  <si>
    <t>11:05 - 11:20</t>
  </si>
  <si>
    <t>235</t>
  </si>
  <si>
    <t>Mercury Speciation and Distribution from the US GEOTRACES GP17-ANT Cruise in the Amundsen Sea</t>
  </si>
  <si>
    <t>Carl Lamborg</t>
  </si>
  <si>
    <t>P047</t>
  </si>
  <si>
    <t>227</t>
  </si>
  <si>
    <t>Potential Impacts of Seafloor Mining on the Marine Mercury Cycle: Insights from the GEOTRACES Program</t>
  </si>
  <si>
    <t>Katlin Bowman Adamczyk</t>
  </si>
  <si>
    <t>Carl H. Lamborg</t>
  </si>
  <si>
    <t>P048</t>
  </si>
  <si>
    <t>243</t>
  </si>
  <si>
    <t>Mercury Cycling within Sub-Tropical North Pacific Ocean Abyssal Sediments</t>
  </si>
  <si>
    <t>Marissa C. Despins</t>
  </si>
  <si>
    <t>Katlin Bowman Adamczyk, Hope Ianiri, Kira Mizell, Carl Lamborg</t>
  </si>
  <si>
    <t>P049</t>
  </si>
  <si>
    <t>106</t>
  </si>
  <si>
    <t>Distribution and Speciation of Seawater Mercury in the Queen Elizabeth Islands Region of the Canadian Arctic</t>
  </si>
  <si>
    <t>Bronson Ramoutar</t>
  </si>
  <si>
    <t>Debbie Armstrong, Feiyue Wang</t>
  </si>
  <si>
    <t>P050</t>
  </si>
  <si>
    <t>31</t>
  </si>
  <si>
    <t>Oxidation of Aqueous Elemental Mercury: An Overlooked Process Driving Atmospheric-Oceanic Mercury Input</t>
  </si>
  <si>
    <t>Yongguang Yin</t>
  </si>
  <si>
    <t>Yanwei Liu, Xiaoyan Zhang, Yong Cai, Guibin Jiang</t>
  </si>
  <si>
    <t>P051</t>
  </si>
  <si>
    <t>105</t>
  </si>
  <si>
    <t>Determining Biomass-Based Methylmercury Concentrations in Phytoplankton with the Support of an Imaging Flow Cytobot and Flow Cytometer</t>
  </si>
  <si>
    <t>Kristine C. Prelich</t>
  </si>
  <si>
    <t>Z. Baumann, H. Sosik, H. Levine, K. Randolph, E. Peacock, E.T. Crockford, C. Mouw, A. Ciochetto</t>
  </si>
  <si>
    <t>P052</t>
  </si>
  <si>
    <t>272</t>
  </si>
  <si>
    <t>Spatial and Temporal Trends of Mercury in Sediments Off Goa, Central West Coast of  India</t>
  </si>
  <si>
    <t>Krushna Vudamala</t>
  </si>
  <si>
    <t>Subha Anand S, A.K. Sudheer and Arubam Khelen Chanu</t>
  </si>
  <si>
    <t>P053</t>
  </si>
  <si>
    <t>14:00-14:15</t>
  </si>
  <si>
    <t>55</t>
  </si>
  <si>
    <t>Long-Term Observations of Mercury Species in the Sargasso Sea Highlight the Effectiveness of the Minamata Convention</t>
  </si>
  <si>
    <t>Jingjing Yuan</t>
  </si>
  <si>
    <t>Robert P. Mason, Hannah Inman, Olivia Patrinicola</t>
  </si>
  <si>
    <t>P054</t>
  </si>
  <si>
    <t>14:15-14:30</t>
  </si>
  <si>
    <t>27</t>
  </si>
  <si>
    <t>Modelling Mercury Cycle in the Global Ocean Using NEMO-PISCES - Redox Reactions Sensibility Tests and Impact of Hydrothermal Sources</t>
  </si>
  <si>
    <t>Brunet Eline</t>
  </si>
  <si>
    <t>Dutay Jean-Claude, Heimbürger-Boavida Lars-Eric</t>
  </si>
  <si>
    <t>P055</t>
  </si>
  <si>
    <t>14:30-14:45</t>
  </si>
  <si>
    <t>141</t>
  </si>
  <si>
    <t>Air-Sea Exchange of Dimethylmercury in the Southern Ocean During GEOTRACES GP17-OCE and GP17-ANT</t>
  </si>
  <si>
    <t>Yipeng He</t>
  </si>
  <si>
    <t>Marissa Despins, Carl Lamborg, Robert Mason</t>
  </si>
  <si>
    <t>P056</t>
  </si>
  <si>
    <t>14:45-15:00</t>
  </si>
  <si>
    <t>1062</t>
  </si>
  <si>
    <t>Measuring Mercury Isotopes on a Next-Generation Multicollector Inductively Coupled Plasma Mass Spectrometer (Neoma)</t>
  </si>
  <si>
    <t>Johannes West</t>
  </si>
  <si>
    <t>Vinai K. Rai, Eric Siciliano Rego, Jeroen E. Sonke, Emma G. Ling, Amina T. Schartup</t>
  </si>
  <si>
    <t>P057</t>
  </si>
  <si>
    <t>28</t>
  </si>
  <si>
    <t>Key Requirements and Best Practices for Measurement Comparability in Marine Mercury Speciation Analysis</t>
  </si>
  <si>
    <t>Igor Živković</t>
  </si>
  <si>
    <t>Jože Kotnik, Lars-Eric Heimbürger-Boavida, Mariia V. Petrova, Aurélie Dufour, Ermira Begu, and Milen</t>
  </si>
  <si>
    <t>P058</t>
  </si>
  <si>
    <t>111</t>
  </si>
  <si>
    <t>High-Frequency Observations of Dissolved Gaseous Mercury (DGM) in Korean Coastal Waters: Environmental Controls and Lagged Photochemical Responses</t>
  </si>
  <si>
    <t>Huu-Viet Nguyen</t>
  </si>
  <si>
    <t>Seunghee Han</t>
  </si>
  <si>
    <t>P059</t>
  </si>
  <si>
    <t>234</t>
  </si>
  <si>
    <t>Preliminary Results from Monterey Bay Mercury Species Intercalibration</t>
  </si>
  <si>
    <t>Amina Schartup, Marissa Despins, Johannes West, Jeannette Calvin, Lars-Eric Heimbürger-Boavida, Emily Seelen, Stephen Kohler, Emma Scott, Kristine Prelich, Peter Weiss-Penzias, Allison Laubach, Alina Kleindienst</t>
  </si>
  <si>
    <t>P060</t>
  </si>
  <si>
    <t>By email</t>
  </si>
  <si>
    <t>Mercury and its Speciation in a Few Traditional Formulation</t>
  </si>
  <si>
    <t>Azhar Hashmi, R Lekha</t>
  </si>
  <si>
    <t>P061</t>
  </si>
  <si>
    <t>273</t>
  </si>
  <si>
    <t>Global Use of Mercury in Ayurvedic Medicine</t>
  </si>
  <si>
    <t>Peter Maxson</t>
  </si>
  <si>
    <t>P062</t>
  </si>
  <si>
    <t>High Lead and Mercury Exposure Related to Intake of Ayurvedic Pharmaceuticals</t>
  </si>
  <si>
    <t>Marcial Velasco Garrido</t>
  </si>
  <si>
    <t>Stephanie Selke, Volker Harth, Alexandra M. Preisser</t>
  </si>
  <si>
    <t>P063</t>
  </si>
  <si>
    <t>247</t>
  </si>
  <si>
    <t>Revisiting Mercury Use in Indian Traditional Practices Under the Minamata Convention Framework</t>
  </si>
  <si>
    <t>Satish Sinha</t>
  </si>
  <si>
    <t>P064</t>
  </si>
  <si>
    <t>Mercury in Traditional Medicine in South Africa</t>
  </si>
  <si>
    <t>Renee Streets</t>
  </si>
  <si>
    <t>P065</t>
  </si>
  <si>
    <t>185</t>
  </si>
  <si>
    <t>Biodiversity and Minamata Convention – Synergies in Multilateral Environmental Agreements</t>
  </si>
  <si>
    <t>P066</t>
  </si>
  <si>
    <t>214</t>
  </si>
  <si>
    <t>Evaluating Mercury Impacts on Wildlife: Contributions to the Minamata Convention and Global Biodiversity Framework</t>
  </si>
  <si>
    <t>Josh T Ackerman</t>
  </si>
  <si>
    <t>Claudia Vega, David Evers, Mark Burton, Olha Furman, Karina Miglioranza, Celia Chen</t>
  </si>
  <si>
    <t>P067</t>
  </si>
  <si>
    <t>236</t>
  </si>
  <si>
    <t>Mercury in the IPBES Nexus Assessment: Bridging Science, Policy, and Multilateral Environmental Conventions</t>
  </si>
  <si>
    <t>Paula Ribeiro Prist</t>
  </si>
  <si>
    <t>P068</t>
  </si>
  <si>
    <t>199</t>
  </si>
  <si>
    <t>Considerations for the integration of  pollution into the implementation of National Biodiversity Strategies and Action Plans (NBSAPs) and Related MEAs Reporting</t>
  </si>
  <si>
    <t>Imelda Dossou Etui</t>
  </si>
  <si>
    <t>Malgorzata Stylo, Haddy Guisse</t>
  </si>
  <si>
    <t>P069</t>
  </si>
  <si>
    <t>253</t>
  </si>
  <si>
    <t>The Intersection of Global Biodiversity Conservation Prioritization Areas and Mercury Threat</t>
  </si>
  <si>
    <t>Mark E.H. Burton</t>
  </si>
  <si>
    <t>Timothy H. Tear, David C. Evers</t>
  </si>
  <si>
    <t>P070</t>
  </si>
  <si>
    <t>276</t>
  </si>
  <si>
    <t>Converting Marine Methylmercury Science to decision-grade evidence: An Evidence-to-Action Framework for Minamata Convention Implementation</t>
  </si>
  <si>
    <t>Luis E. Fernandez</t>
  </si>
  <si>
    <t>P071</t>
  </si>
  <si>
    <t>1051</t>
  </si>
  <si>
    <t>Mercury in Avian Ecosystems in India</t>
  </si>
  <si>
    <t>Mahendiran M</t>
  </si>
  <si>
    <t>P072</t>
  </si>
  <si>
    <t>132</t>
  </si>
  <si>
    <t>Mercury Transfer Across Estuarine Biota: Implications for Biodiversity in the Industrially Impacted Estuary</t>
  </si>
  <si>
    <t>Pavitra Chandrakant Mirjankar</t>
  </si>
  <si>
    <t>Aaron Schultz2, Tanveer Adyel3, Asif Qureshi4</t>
  </si>
  <si>
    <t>P073</t>
  </si>
  <si>
    <t>115</t>
  </si>
  <si>
    <t>Southern Ocean Seabird Population Shifts over the Holocene revealed by Peat Sequestration of Mercury from Guano</t>
  </si>
  <si>
    <t>Chuxian LI</t>
  </si>
  <si>
    <t>Stephen J. Roberts, Martin Grosjean, Adrien Mestrot, Martin Wille, Richard A. Phillips, Maxime Enrico, Kevin Bishop, et al.</t>
  </si>
  <si>
    <t>P074</t>
  </si>
  <si>
    <t>24</t>
  </si>
  <si>
    <t>How and Where to Act? A Review of Policies and Initiatives for Controlling Mercury Contamination from Gold Mining to Protect Biodiversity in the Amazon</t>
  </si>
  <si>
    <t>Allison Aldous</t>
  </si>
  <si>
    <t>Nick Fromherz, Vitor Domingues, Aline Lopes, Débora G. Zanetti</t>
  </si>
  <si>
    <t>P075</t>
  </si>
  <si>
    <t>232</t>
  </si>
  <si>
    <t>Mapping Mercury Contamination Risks to Biodiversity and People in Ecuador’s Napo Basin</t>
  </si>
  <si>
    <t>Mark Burton , Pedro Jimenez , Korik Vargas, Gabriela Echevarría, Fernando Sánchez Orellana , Jonathan Valdivieso</t>
  </si>
  <si>
    <t>P076</t>
  </si>
  <si>
    <t>275</t>
  </si>
  <si>
    <t>Mercury–Biodiversity Risk Landscapes in Artisanal Gold Mining Systems of the Peruvian Amazon</t>
  </si>
  <si>
    <t>Claudia M. Vega, Jessica Pisconte, Liz Huamani, Tatiana Garcia, Miles R. Silman</t>
  </si>
  <si>
    <t>P077</t>
  </si>
  <si>
    <t>15:00-15:15</t>
  </si>
  <si>
    <t>274</t>
  </si>
  <si>
    <t>Assessing Biodiversity Impacts from Mercury Release in Artisanal Small-Scale Gold Mining Using Birds as Indicators</t>
  </si>
  <si>
    <t>David Evers</t>
  </si>
  <si>
    <t>Kevin Regan, Korik Vargan, Billi Krochuk, Ed Jenkins</t>
  </si>
  <si>
    <t>P078</t>
  </si>
  <si>
    <t>134</t>
  </si>
  <si>
    <t>Mercury in Fur of some Pinniped’s Species from different Regions of Russia</t>
  </si>
  <si>
    <t>Yuri G. Udodenko</t>
  </si>
  <si>
    <t>Maria A. Solovyeva, Viatcheslav V. Rozhnov</t>
  </si>
  <si>
    <t>P079</t>
  </si>
  <si>
    <t>177</t>
  </si>
  <si>
    <t>Sources and Cycling of Mercury in the Baltic Sea following the Entry into Force of the Minamata Convention</t>
  </si>
  <si>
    <t>Magdalena Bełdowska</t>
  </si>
  <si>
    <t>Dominka Saniewska, Anna Dziubińska, Karolina Gębka, Agnieszka Jędruch, Urszula Kwasigroch, Leszek Łęczyński, Angela Popławska, Mariusz Sapota, Bartłomiej Wilman, Agnieszka Zarzeczańska</t>
  </si>
  <si>
    <t>P080</t>
  </si>
  <si>
    <t>15:15-15:30</t>
  </si>
  <si>
    <t>23</t>
  </si>
  <si>
    <t>Relationships between Selenoneine, Ergothioneine, Methylmercury, and Blood Parameters Among Inuit Living in Nunavik, Northern Quebec</t>
  </si>
  <si>
    <t>Alexandrine Roy</t>
  </si>
  <si>
    <t>Pierre Ayotte, Mariia Samoilenko, Marcos Yedjenou, Amira Aker, Matthew Little, Mélanie Lemire</t>
  </si>
  <si>
    <t>P081</t>
  </si>
  <si>
    <t>15:30-15:45</t>
  </si>
  <si>
    <t>148</t>
  </si>
  <si>
    <t>Mercury–Selenium Interactions in Amazonian Riverine Populations Under Contrasting Exposure Scenarios</t>
  </si>
  <si>
    <t>María Jiménez-Moreno</t>
  </si>
  <si>
    <t>Gabriela P. Arrifano, Sergio Fernández-Trujillo, Marcus Augusto-Oliveira, Leticia Santos-Sacramento, Amanda Lopes-Araújo,
 Barbarella M. Macchi, José Luiz M. do Nascimento, María Elena Crespo-López, Rosa C. Rodríguez Martín-Doimeadios</t>
  </si>
  <si>
    <t>P082</t>
  </si>
  <si>
    <t>95</t>
  </si>
  <si>
    <t>Combining Speciation of Mercury and Selenium Compounds from Fresh to Marine Waters: Potential Biogeochemical Interactions as Analogues or Antagonists ?</t>
  </si>
  <si>
    <t>David Amouroux</t>
  </si>
  <si>
    <t>Emmanuel Tessier, Maité Bueno</t>
  </si>
  <si>
    <t>P083</t>
  </si>
  <si>
    <t>104</t>
  </si>
  <si>
    <t>Selenoneine as a Natural Antidote to Methylmercury in Ocean Fish</t>
  </si>
  <si>
    <t>Mélanie Lemire</t>
  </si>
  <si>
    <t>Ayotte P, Achouba A, Archambault P, Barrette A, Médieu A, Lorrain A, Point D, Waeles M, Mulhern M,Schroff E, Shamlaye C, McSorley 
E, Strain JJ, van Wijngaarden E, Yeates A, Myers G, Watson G, Antropova O, Winkel L, Béziat P</t>
  </si>
  <si>
    <t>P084</t>
  </si>
  <si>
    <t>113</t>
  </si>
  <si>
    <t>Mercury and Selenium Nanoparticle Formation in Amazonian Fish: Multi-Tissue Evidence of a Freshwater Detoxification Pathway</t>
  </si>
  <si>
    <t>Marianna Alves Cancian</t>
  </si>
  <si>
    <t>Beatriz Gomez-Gomez , Tamara Fernández-Bautista , Marta Miranda , Marta López-Alonso , Fabio Edir Amaral Albuquerque , 
Antonio Humberto Hamad Minervino , David Amouroux , Zoyne Pedrero Zayas</t>
  </si>
  <si>
    <t>P085</t>
  </si>
  <si>
    <t>121</t>
  </si>
  <si>
    <t>Unravelling Mercury and Selenium Species Dynamics in Amazonian Riverine Population</t>
  </si>
  <si>
    <t>Juliette Esplugas</t>
  </si>
  <si>
    <t>Emmanuel Tessier, Gabriel Neves Cezarette, Camille Chen, Fernando Barbosa Jr, Maïté Bueno, Zoyne Pedrero Zayas</t>
  </si>
  <si>
    <t>P086</t>
  </si>
  <si>
    <t>147</t>
  </si>
  <si>
    <t>Analytical Insights into HgSe Nanoparticle Formation in Marine Food Webs</t>
  </si>
  <si>
    <t>Marta Hernández-Postigo,  Armando Sánchez-Cachero,  Ángel Ríos2, Rosa Carmen Rodríguez Martín-Doimeadios</t>
  </si>
  <si>
    <t>P087</t>
  </si>
  <si>
    <t>78</t>
  </si>
  <si>
    <t>Selenoneine in Marine Fish and Estimation of Dietary Intakes in Seychellois Pregnant Women</t>
  </si>
  <si>
    <t>Olya Antropova</t>
  </si>
  <si>
    <t>Melanie Lemire, Pierre Ayotte, Adel Achouba, Pierre Dumas, Ariane Barrette, Emelyn Schroff, Conrad Shamlaye, Emeir M. McSorley,
 Sean J.J. Strain, Alison Yeates, Philip Allsopp, Gary Myers, Gene Watson, Edwin van Wijngaarden, Maria S. Mulhern.</t>
  </si>
  <si>
    <t>P088</t>
  </si>
  <si>
    <t>201</t>
  </si>
  <si>
    <t>Stochiometric Relationship Between Mercury and Selenium in the Nutrition of Populations in the Northwest Territories (Canada), with Special Emphasis On Remote Indigenous Communities</t>
  </si>
  <si>
    <t>Dirk Wallschläger</t>
  </si>
  <si>
    <t>Alexander Branton</t>
  </si>
  <si>
    <t>P089</t>
  </si>
  <si>
    <t>18:00-18:15</t>
  </si>
  <si>
    <t>251</t>
  </si>
  <si>
    <t>Mercury Isotopic Signature in Blood and Hair: A Study in Amazonian Populations</t>
  </si>
  <si>
    <t>Zoyne Pedrero Zayas</t>
  </si>
  <si>
    <t>Gabriel N. Cezarette†, Juliette Esplugas, Pascale Louvat, Warren T. Corns, Fernando B. Junior, Maïté Bueno</t>
  </si>
  <si>
    <t>P090</t>
  </si>
  <si>
    <t>149</t>
  </si>
  <si>
    <t>Study of Mercury–Selenium Interactions Including Nanoparticles in Brazilian Amazonian Freshwater Fish</t>
  </si>
  <si>
    <t>Marta Hernández-Postigo, Amanda Lopes-Araújo, Gabriela P. Arrifano, Marcus Augusto-Oliveira, Leticia Santos-Sacramento,
 Isabela Soares-Silva, Caio Gustavo Leal-Nazaré, María Elena Crespo-López, Rosa Carmen Rodríguez Martín-Doimeadios</t>
  </si>
  <si>
    <t>P091</t>
  </si>
  <si>
    <t>37</t>
  </si>
  <si>
    <t>Climate-Driven Mercury Accumulation and Storage Dynamics in Tropical Dry and Rainforest</t>
  </si>
  <si>
    <t>Juan Francisco Morales Arteaga</t>
  </si>
  <si>
    <t>Cesar Ivan Alvarez, Harald Biester, Marta Pérez-Rodríguez</t>
  </si>
  <si>
    <t>P092</t>
  </si>
  <si>
    <t>60</t>
  </si>
  <si>
    <t>Vegetation Regulation of Soil Hg(0) Evasion: Mechanistic Insights from Karst Landscapes and Global Patterns</t>
  </si>
  <si>
    <t>Jicheng Xia</t>
  </si>
  <si>
    <t>Jen-How Huang,Zaihua Liu,Min Zhao,Wei Yuan,Xun Wang,Tao Peng,Yanmei Zhou,Yixuan Shu,Weijun Luo,Xinbi</t>
  </si>
  <si>
    <t>P093</t>
  </si>
  <si>
    <t>80</t>
  </si>
  <si>
    <t>Seasonal and Diurnal Variations in Atmospheric GEM Concentrations and Fluxes Over a Deciduous Needleleaf Forest in Japan</t>
  </si>
  <si>
    <t>Akinori Takeuchi</t>
  </si>
  <si>
    <t>Yoshiyuki Takahashi</t>
  </si>
  <si>
    <t>P094</t>
  </si>
  <si>
    <t>99</t>
  </si>
  <si>
    <t>Elemental Mercury Dominates the Biogeochemical Cycling of Mercury in Forest Ecosystems</t>
  </si>
  <si>
    <t>Xinbin Feng</t>
  </si>
  <si>
    <t>Xun Wang, Wei Yuan</t>
  </si>
  <si>
    <t>P095</t>
  </si>
  <si>
    <t>129</t>
  </si>
  <si>
    <t>Identifying the Spatial Extent of Historical Mercury Smelter Emissions Using Tree Cores and Stable Isotope Soil Profiles</t>
  </si>
  <si>
    <t>Steve Dent</t>
  </si>
  <si>
    <t>Chris Eckley, Jennifer Crawford, Bryn Thoms, Mike Bollman, Jason Silvertooth</t>
  </si>
  <si>
    <t>P096</t>
  </si>
  <si>
    <t>142</t>
  </si>
  <si>
    <t>Comparison of Mercury Contents in Plant Species and Mercury Emissions from Prescribed Burning in Japanese Grasslands</t>
  </si>
  <si>
    <t>Satoshi Irei</t>
  </si>
  <si>
    <t>Seiichiro Yonemura, Satoshi Kameyama, Hiroto Shimazaki, and Asahi Sakuma</t>
  </si>
  <si>
    <t>P097</t>
  </si>
  <si>
    <t>92</t>
  </si>
  <si>
    <t>The Almadén Mercury Mining District: An Update of Environmental Consequences of the Exploitation of its Hg Deposits</t>
  </si>
  <si>
    <t>Pablo Higueras</t>
  </si>
  <si>
    <t>S. Lorenzo, J.I. Barquero, F.M. Bacale, O.A. Ávalos</t>
  </si>
  <si>
    <t>Geologic_processes</t>
  </si>
  <si>
    <t>P098</t>
  </si>
  <si>
    <t>76</t>
  </si>
  <si>
    <t>The State of the Environment in Idrija 30 Years After the Cessation of Mercury Production at the Idrija Mercury Mine, Slovenia</t>
  </si>
  <si>
    <t>Tatjana Dizdarevič</t>
  </si>
  <si>
    <t>P099</t>
  </si>
  <si>
    <t>138</t>
  </si>
  <si>
    <t>Hg-contamination in the Former Hg-Mining Area of Abbadia San Salvatore (Mt. Amiata, central Italy)</t>
  </si>
  <si>
    <t>Orlando Vaselli</t>
  </si>
  <si>
    <t>Federica Meloni, Barbara Nisi, Jacopo Cabassi, Francesco Bianchi, Daniele Rappuoli</t>
  </si>
  <si>
    <t>P100</t>
  </si>
  <si>
    <t>194</t>
  </si>
  <si>
    <t>Mercury Behaviour During the Formation of Modern Thermal Fields of Kamchatka (Russia)</t>
  </si>
  <si>
    <t>Anton Nuzhdaev</t>
  </si>
  <si>
    <t>P101</t>
  </si>
  <si>
    <t>162</t>
  </si>
  <si>
    <t>Mercury Distribution Pattern in Soil at the UCIL Site, Bhopal</t>
  </si>
  <si>
    <t>Ekta Nagphase</t>
  </si>
  <si>
    <t>Jagannath Biswakarma, Asif Qureshi</t>
  </si>
  <si>
    <t>P102</t>
  </si>
  <si>
    <t>127</t>
  </si>
  <si>
    <t>Mercury Speciation and Mobility in the Eastern Mt. Amiata Mining District (Central Italy):  Implications for Long-Term Environmental Risk</t>
  </si>
  <si>
    <t>Federica Meloni</t>
  </si>
  <si>
    <t>Pablo Higueras  , Jacopo Cabassi  , Barbara Nisi  , Cristiano Romiti  ,  Daniele Rappuoli , Orlando Vaselli</t>
  </si>
  <si>
    <t>P103</t>
  </si>
  <si>
    <t>122</t>
  </si>
  <si>
    <t>Mercury Thermospeciation in Coals</t>
  </si>
  <si>
    <t>Nikolay Mashyanov</t>
  </si>
  <si>
    <t>S.E. Pogarev, M.W. Mathebula, E.G. Panova, V.V. Ryzhov, N.S. Ivanov,</t>
  </si>
  <si>
    <t>P104</t>
  </si>
  <si>
    <t>71</t>
  </si>
  <si>
    <t>Recent Insights into Mercury Distribution in Indian Coal and Emissions from Thermal Power Plants</t>
  </si>
  <si>
    <t>Hridesh Agarwalla</t>
  </si>
  <si>
    <t>Monalisa Gangopadhyay, Jyoti Kumari, Reginald Masto</t>
  </si>
  <si>
    <t>P105</t>
  </si>
  <si>
    <t>224</t>
  </si>
  <si>
    <t>From Transport to Transformation: Evolving Understanding of Mercury Behavior in a River–Reservoir System</t>
  </si>
  <si>
    <t>Jennifer Crawford, Chris Eckley, Todd Luxton (USEPA); Colin Eagles-Smith (USGS); Jason Silvertooth (CDM Smith)</t>
  </si>
  <si>
    <t>P106</t>
  </si>
  <si>
    <t>237</t>
  </si>
  <si>
    <t>Air Mercury Surveys at Sulfides Ore Deposits</t>
  </si>
  <si>
    <t>Alexei S. Rukhlov</t>
  </si>
  <si>
    <t>Alexei S. Rukhlov,Nikolay Mashyanov,Alexey Shashko,Vladimir Ryzhov,Ellen Perkins,Wade Barnes</t>
  </si>
  <si>
    <t>P107</t>
  </si>
  <si>
    <t>13</t>
  </si>
  <si>
    <t>Mercury Concentrations in the Surface Bottom Sediments Eastern Arctic Seas</t>
  </si>
  <si>
    <t>Ivanov Maksim</t>
  </si>
  <si>
    <t>P108</t>
  </si>
  <si>
    <t>36</t>
  </si>
  <si>
    <t>Climate Controls on Holocene Mercury Dynamics Across Alaskan Arctic Terrestrial and Marine Systems</t>
  </si>
  <si>
    <t>Masao Uchida</t>
  </si>
  <si>
    <t>K. Mantoku, C. L. Ping, G. Iwahana, H. Kajita, A. Yamakawa, S. Rella, C. Amano, K. Yoshikawa</t>
  </si>
  <si>
    <t>P109</t>
  </si>
  <si>
    <t>63</t>
  </si>
  <si>
    <t>Arctic Permafrost as a Millennial Mercury Sink: Records from St. Lawrence Island, Bering Strait</t>
  </si>
  <si>
    <t>Masao Uchida, Go Iwahana, Kanako Mantoku, Josephine Galipon, Akane Yamakawa, Kumiko Nakano</t>
  </si>
  <si>
    <t>P110</t>
  </si>
  <si>
    <t>128</t>
  </si>
  <si>
    <t>Concentration, Distribution, and Speciation of Mercury in Hydrothermally Altered Ground from the Lakki Plain (Nisyros Island, Greece)</t>
  </si>
  <si>
    <t>Cabassi, Jacopo  , Vougioukalakis, Georgios  , Vaselli, Orlado</t>
  </si>
  <si>
    <t>P111</t>
  </si>
  <si>
    <t>143</t>
  </si>
  <si>
    <t>Bedrock-Controlled Mercury Partitioning and Export in Glacier Meltwater River to Arctic Fjords</t>
  </si>
  <si>
    <t>Hakwon Jeong</t>
  </si>
  <si>
    <t>P112</t>
  </si>
  <si>
    <t>202</t>
  </si>
  <si>
    <t>Mercury Variability in Soils of in Arctic Valleys in Svalbard</t>
  </si>
  <si>
    <t>Wiktoria Zawrzykraj</t>
  </si>
  <si>
    <t>Juliana Souza-Kasprzyk, Przemysław Niedzielski</t>
  </si>
  <si>
    <t>P113</t>
  </si>
  <si>
    <t>P114</t>
  </si>
  <si>
    <t>P115</t>
  </si>
  <si>
    <t>P116</t>
  </si>
  <si>
    <t>P117</t>
  </si>
  <si>
    <t>P118</t>
  </si>
  <si>
    <t>P119</t>
  </si>
  <si>
    <t>P120</t>
  </si>
  <si>
    <t>P121</t>
  </si>
  <si>
    <t>P122</t>
  </si>
  <si>
    <t>P123</t>
  </si>
  <si>
    <t>25</t>
  </si>
  <si>
    <t>Assessing Ecological Risk of Mercury in Subsea Oil and Gas Infrastructure to Inform Decommissioning</t>
  </si>
  <si>
    <t>Tom Cresswell</t>
  </si>
  <si>
    <t>Alexandra Boyd, Marie Thomas, Elisabeth Tondl, Flora Mansour, Lhiam Paton, Francesca Gissi</t>
  </si>
  <si>
    <t>P124</t>
  </si>
  <si>
    <t>156</t>
  </si>
  <si>
    <t>Hidden in Plain Sight: Human Mercury Vapour Exposure Risks Across the Oil and Gas Decommissioning Lifecycle</t>
  </si>
  <si>
    <t>David Hunter</t>
  </si>
  <si>
    <t>P125</t>
  </si>
  <si>
    <t>168</t>
  </si>
  <si>
    <t>Novel Application of Ceramic Membrane Microfiltration Technologies for the Removal of Particulate Mercury from Oil and Gas Process Fluids</t>
  </si>
  <si>
    <t>Stuart Baker</t>
  </si>
  <si>
    <t>Chris Sweeney</t>
  </si>
  <si>
    <t>P126</t>
  </si>
  <si>
    <t>173</t>
  </si>
  <si>
    <t>Identification of Mercury Species in Waxy Condensate and Assessment of the Efficacy of both Established and Novel Removal Technologies</t>
  </si>
  <si>
    <t>Jac Hales</t>
  </si>
  <si>
    <t>Kieran Stuart</t>
  </si>
  <si>
    <t>P127</t>
  </si>
  <si>
    <t>213</t>
  </si>
  <si>
    <t>Low Temperature Thermal Decomposition of Metacinnabar (β-HgS) Nanoparticles to Elemental Mercury in Water and Glycol: Implications for Mercury Management</t>
  </si>
  <si>
    <t>Gregory V. Lowry</t>
  </si>
  <si>
    <t>Chengyi Hong, Daniel Chinn, Evan S. Hatakeyama, Thomas Hoelen</t>
  </si>
  <si>
    <t>P128</t>
  </si>
  <si>
    <t>216</t>
  </si>
  <si>
    <t>Quantifying Mercury Pathways in the Oil &amp; Gas Sector</t>
  </si>
  <si>
    <t>P129</t>
  </si>
  <si>
    <t>220</t>
  </si>
  <si>
    <t>Comparison and Experiences of Sampling Approaches for Mercury in Gaseous Hydrocarbons</t>
  </si>
  <si>
    <t>Warren T Corns</t>
  </si>
  <si>
    <t>Amauris H Hernandez, Timothy Williams, Matthew Dexter</t>
  </si>
  <si>
    <t>P130</t>
  </si>
  <si>
    <t>22</t>
  </si>
  <si>
    <t>Mercury in Gas and Oil Deposits</t>
  </si>
  <si>
    <t>Vladimir Ryzhov</t>
  </si>
  <si>
    <t>Nikolay Mashyanov, Sergey  Sholupov, Sergey  Pogarev</t>
  </si>
  <si>
    <t>P131</t>
  </si>
  <si>
    <t>82</t>
  </si>
  <si>
    <t>Investigating the Status of Mercury Contamination in Various Freshwater and Marine Ecosystems of South Africa</t>
  </si>
  <si>
    <t>Johannes H. Erasmus</t>
  </si>
  <si>
    <t>P132</t>
  </si>
  <si>
    <t>139</t>
  </si>
  <si>
    <t>Mercury in Lakes of Andean Patagonia: Patterns in Deep and Shallow Lakes Along a Bioclimatic Gradient</t>
  </si>
  <si>
    <t>María C. Diéguez</t>
  </si>
  <si>
    <t>P133</t>
  </si>
  <si>
    <t>229</t>
  </si>
  <si>
    <t>Mercury Distribution in Bottom Sediments in a Tropical Coastal Lagoon: Tijuca Lagoon (Rio De Janeiro, Brazil)</t>
  </si>
  <si>
    <t>Yan Ribeiro de Almeida Fernandes</t>
  </si>
  <si>
    <t>P134</t>
  </si>
  <si>
    <t>46</t>
  </si>
  <si>
    <t>Spatial Evaluation of Total Mercury Concentrations in the South African Atmosphere Using Lichen Biomonitors</t>
  </si>
  <si>
    <t>Patricia Forbes</t>
  </si>
  <si>
    <t>Marco Botha</t>
  </si>
  <si>
    <t>P135</t>
  </si>
  <si>
    <t>12</t>
  </si>
  <si>
    <t>Spatial Variation in Mercury Concentrations in Mankweng, South Africa</t>
  </si>
  <si>
    <t>Monray Dean Belelie</t>
  </si>
  <si>
    <t>Wynand Malherbe, Nico J. Smit, Victor Wepener</t>
  </si>
  <si>
    <t>P136</t>
  </si>
  <si>
    <t>270</t>
  </si>
  <si>
    <t>Environmental Monitoring of Yanomami Land and the Upper Amazonas Network</t>
  </si>
  <si>
    <t>Marina Arcagni, Zaida Fernandez, Carolina Soto Cárdenas</t>
  </si>
  <si>
    <t>P137</t>
  </si>
  <si>
    <t>62</t>
  </si>
  <si>
    <t>Distribution of Total and Bioavailable Mercury Concentrations in Abiotic Matrices in a South African Nature Reserve</t>
  </si>
  <si>
    <t>Geyan Kempkes</t>
  </si>
  <si>
    <t>Ricardo Gonçalves Cesar, Matheus Teixeira, Gustavo Koifman, Zuleica Castilhos</t>
  </si>
  <si>
    <t>P138</t>
  </si>
  <si>
    <t>230</t>
  </si>
  <si>
    <t>Mercury Contamination and Sediment Resuspension: Ecotoxicological Algae and Microcrustaceans in a Tropical Urban Lagoon</t>
  </si>
  <si>
    <t>Ricardo Gonçalves Cesar, André Salomão, Zuleica Castilhos, Gustavo Koifman</t>
  </si>
  <si>
    <t>P139</t>
  </si>
  <si>
    <t>167</t>
  </si>
  <si>
    <t>Development of Multifunctional Phosphorylated Chitosan-Based Nanocomposite Doped with Sulfur Nanoparticles for Efficient Removal Of  Hg From Surface Wastewater</t>
  </si>
  <si>
    <t>Mvula Confidence Goci</t>
  </si>
  <si>
    <t>Romério Briglia, Lillian M. Domingos, Thaís K Queiróz, Josué Souza,
` Thainá Farinchon, Gustavo Teixeira, Yan Fernandes,  Ricardo Sierpe, Ricardo Cesar</t>
  </si>
  <si>
    <t>P140</t>
  </si>
  <si>
    <t>169</t>
  </si>
  <si>
    <t>Sulfurised Phosphorylated Chitosan-Based Electrochemical Sensor for Sensitive Detection of Mercury (II) Ions</t>
  </si>
  <si>
    <t>Puleng Molete</t>
  </si>
  <si>
    <t>Anzel De Lange, Farina Lindeque</t>
  </si>
  <si>
    <t>P141</t>
  </si>
  <si>
    <t>1058</t>
  </si>
  <si>
    <t>Effects of an Extreme Drought Event on Mercury Biogeochemistry in Central Amazon Sediments</t>
  </si>
  <si>
    <t>Gabriela Santos Caldeira</t>
  </si>
  <si>
    <t>David Amouroux, Tereza Cristina Souza de Oliveira, Alina Kleindienst, Emanuel Tessier, 
Pascale Louvat, Pedro Costa Evangelista, Fernando Barbosa Egreja Filho, Naziano Pantoja Filizola Junior, Ednaldo Bras Severo, Claúdia Carvalhinho Windmöller</t>
  </si>
  <si>
    <t>P142</t>
  </si>
  <si>
    <t>16</t>
  </si>
  <si>
    <t>Estimation of Mercury Released into the Environment from the Uncontrolled Dumping of Broken Medical Thermometers in Hospitals in Cameroon, Africa</t>
  </si>
  <si>
    <t>Samuel Tetsopgang</t>
  </si>
  <si>
    <t>P143</t>
  </si>
  <si>
    <t>1068</t>
  </si>
  <si>
    <t>Over 20 Years of Mercury Monitoring in the Pacific Island Region</t>
  </si>
  <si>
    <t>Vincent Lal</t>
  </si>
  <si>
    <t>P144</t>
  </si>
  <si>
    <t>50</t>
  </si>
  <si>
    <t>A Geographic Assessment and Representation of Mercury (Hg) Concentrations in Selected South African Freshwater Environments from 2022-2025</t>
  </si>
  <si>
    <t>Vernon Sydwill Somerset</t>
  </si>
  <si>
    <t>Chavon Walters</t>
  </si>
  <si>
    <t>P145</t>
  </si>
  <si>
    <t>85</t>
  </si>
  <si>
    <t>Variability in Mercury and Dissolved Organic Matter Quality in Relation to Catchment-Lake Processes: A Spatiotemporal Analysis in Two Deep Oligotrophic Lakes of Northern Patagonia (Argentina)</t>
  </si>
  <si>
    <t>Rizzo Andrea</t>
  </si>
  <si>
    <t>Queimaliños C, Arcagni M, Soto Cárdenas C, Reissig M, De Stefano L, Fernandez Z, Diéguez MC</t>
  </si>
  <si>
    <t>P146</t>
  </si>
  <si>
    <t>96</t>
  </si>
  <si>
    <t>Mercury Dynamics in Shallow, Pristine Lakes of the Patagonian Andes (Argentina): Climate Influence on Terrestrial Inputs and Internal Processes</t>
  </si>
  <si>
    <t>Zaida Fernandez</t>
  </si>
  <si>
    <t>Carolina Soto Cárdenas, Marina Arcagni, Mariana Reissig, Andrea Rizzo, María C. Diéguez</t>
  </si>
  <si>
    <t>P147</t>
  </si>
  <si>
    <t>144</t>
  </si>
  <si>
    <t>Mercury in Antarctic Vegetation as an Indicator of Uptake Routes and Bioavailable Forms</t>
  </si>
  <si>
    <t>Dominika Saniewska</t>
  </si>
  <si>
    <t>Aleksandra Cichecka , Patrycja Płonska , Iga Nehring , Piotr Paneth , Michal Saniewski</t>
  </si>
  <si>
    <t>P148</t>
  </si>
  <si>
    <t>145</t>
  </si>
  <si>
    <t>Mercury Contamination in Polar Fish: Bioaccumulation and Trophic Transfer in Notothenia Coriiceps from Admiralty Bay, Maritime Antarctic</t>
  </si>
  <si>
    <t>Kacper Jurczyk , Mariusz Sapota , Piotr Paneth , Michal Saniewski</t>
  </si>
  <si>
    <t>P149</t>
  </si>
  <si>
    <t>165</t>
  </si>
  <si>
    <t>Synergistic Sulfur-Functionalized Phosphorylated Chitosan Nanocomposite for Enhanced Electrochemical Detection and Adsorptive Removal of Mercury (II) Ions from Aqueous Environments</t>
  </si>
  <si>
    <t>Michael J. Klink</t>
  </si>
  <si>
    <t>Mvula Goci, Puleng Molete, Anny Leudjo Taka, Lynwill G Martin, Vernon Somerset</t>
  </si>
  <si>
    <t>P150</t>
  </si>
  <si>
    <t>187</t>
  </si>
  <si>
    <t>The Antarctic Shag (Leucocarbo bransfieldensis) as a Bioindicator of Mercury and Methylmercury Contamination in the King George Island (South Shetland Islands, Antarctica)</t>
  </si>
  <si>
    <t>Maja Kuznik</t>
  </si>
  <si>
    <t>Katarzyna Fudala , Robert Bialik , Dominika Saniewska</t>
  </si>
  <si>
    <t>P151</t>
  </si>
  <si>
    <t>181</t>
  </si>
  <si>
    <t>Scientific Report of the Open-Ended Scientific Group of the Minamata Convention</t>
  </si>
  <si>
    <t>Alexandra Steffen, Dominique Bally Kpokro, Terry Keating</t>
  </si>
  <si>
    <t>Oral Paper</t>
  </si>
  <si>
    <t>P152</t>
  </si>
  <si>
    <t>184</t>
  </si>
  <si>
    <t>Mercury Exposure in Humans: Work of the Open-Ended Scientific Group for the Minamata Convention Effectiveness Evaluation</t>
  </si>
  <si>
    <t>Janja Snoj Tratnik</t>
  </si>
  <si>
    <t>Members of the Open-Ended Scientific Group of the Minamata Convention</t>
  </si>
  <si>
    <t>P153</t>
  </si>
  <si>
    <t>1056</t>
  </si>
  <si>
    <t>Mercury in Biota – Global Synthesis of Monitoring Data for Effectiveness Evaluation</t>
  </si>
  <si>
    <t>Mark Burton</t>
  </si>
  <si>
    <t>Olha Furman,Josh Ackerman, Mark Burton, Paco Bustamante,Jess Brandt,Celia Chen,John Chetelat,
Marlene Evans,David Evers, Nadia Facciola,Tatsuya Hattori,Magali Houde,Kimmo Kahilainen,Eva Kruemmel,Yanju Ma,Aourell Mauffret, Marianna Pinzone,Heli Routti,Claudia Vega,Simon Wilson, Pianpian Wu,Eisaku Toda,Terry  Keating,Alexandra Steffen,Dominique Bally Kpokro</t>
  </si>
  <si>
    <t>Oral Presentation</t>
  </si>
  <si>
    <t>P154</t>
  </si>
  <si>
    <t>1057</t>
  </si>
  <si>
    <t>Levels, Trends, and Spatial Patterns Across Environmental Media and Natural Archives: Insights from the First Synthesis Supporting the Minamata Convention Effectiveness Evaluation</t>
  </si>
  <si>
    <t>Svetoslava Todorova</t>
  </si>
  <si>
    <t>Adrien Mestrot,Anne Sørensen,Jane Kirk,Una Jermilova,Taylor Luu,Vivien Taylor,Chris Eckley,
Manuel Gabriel Velasquez Ramirez,Sylvain Bouchet,Larissa Schneider,John Munthe,Valentin Mansanarez,Semia Gharbi,Chuxian Li,Luis Ángel Ancco Pichuilla,Jacqueline Gerson</t>
  </si>
  <si>
    <t>P155</t>
  </si>
  <si>
    <t>1066</t>
  </si>
  <si>
    <t>The Global Chemicals Monitoring Programme (GCMP) and its Contributions to the Effectiveness Evaluation of the Stockholm and Minamata Conventions</t>
  </si>
  <si>
    <t>Victor HE Schulze, Haosong Jiao, Kenneth Davis, Mihaela Paun, Jitendra Sharma, Ludovic Bernaudat</t>
  </si>
  <si>
    <t>P156</t>
  </si>
  <si>
    <t>42</t>
  </si>
  <si>
    <t>Initiation, Expansion and Sustainability of Laboratory Proficiency Testing for Mercury to Enhance Collective Mercury Monitoring Capacity</t>
  </si>
  <si>
    <t>Saito, Mitsugu</t>
  </si>
  <si>
    <t>Haraguchi, K., Uchida, K., Hattori, T., Nagasaka, H., Bhari B., Huno, S., Borongan, G.</t>
  </si>
  <si>
    <t>P157</t>
  </si>
  <si>
    <t>209</t>
  </si>
  <si>
    <t>Mercury Monitoring in Japan: Cooperation for Monitoring Capacity Development and the Challenges thereof in Contribution tothe Effectiveness Evaluation of the Minamata Convention</t>
  </si>
  <si>
    <t>Tatsuya Hattori</t>
  </si>
  <si>
    <t>Koki Takaki</t>
  </si>
  <si>
    <t>P158</t>
  </si>
  <si>
    <t>74</t>
  </si>
  <si>
    <t>Progress of the Asia Pacific Mercury Monitoring Network</t>
  </si>
  <si>
    <t>Guey-Rong Sheu</t>
  </si>
  <si>
    <t>Da-Wei Lin</t>
  </si>
  <si>
    <t>P159</t>
  </si>
  <si>
    <t>175</t>
  </si>
  <si>
    <t>The SA Mercury Network (SAMNet): Latest Trends and Findings</t>
  </si>
  <si>
    <t>Lynwill G Martin</t>
  </si>
  <si>
    <t>Casper Labuschagne, Goitsemang Lekota, Londolani Lethole, Thumeka  Mkololo and Pieter Labuschagne</t>
  </si>
  <si>
    <t>P160</t>
  </si>
  <si>
    <t>269</t>
  </si>
  <si>
    <t>Mercury Monitoring in the Caribbean Region</t>
  </si>
  <si>
    <t>Dr Linroy Christian</t>
  </si>
  <si>
    <t>P161</t>
  </si>
  <si>
    <t>280</t>
  </si>
  <si>
    <t>Atmospheric Mercury Monitoring to Support International Priorities</t>
  </si>
  <si>
    <t>Alexandra Steffen</t>
  </si>
  <si>
    <t>Geoff Stupple, Katrina MacSween</t>
  </si>
  <si>
    <t>P162</t>
  </si>
  <si>
    <t>58</t>
  </si>
  <si>
    <t>Evidence of Reduced Methylmercury Levels in Freshwater Ecosystems: A Decade of Monitoring Under the Minamata Convention</t>
  </si>
  <si>
    <t>Seonghwan Kim</t>
  </si>
  <si>
    <t>P163</t>
  </si>
  <si>
    <t>164</t>
  </si>
  <si>
    <t>Atmospheric Transport Pathways and Source Apportionment of Mercury Wet Deposition at IIT Hyderabad</t>
  </si>
  <si>
    <t>Vikas Kumar Meena</t>
  </si>
  <si>
    <t>Hema Bhatt, Asif Qureshi</t>
  </si>
  <si>
    <t>P164</t>
  </si>
  <si>
    <t>1059</t>
  </si>
  <si>
    <t>A Scoping Initiative of the Arctic Monitoring and Assessment Programme (AMAP) to Advance Mercury Monitoring in the Arctic</t>
  </si>
  <si>
    <t>Sofi Jonsson</t>
  </si>
  <si>
    <t>Sofi Jonsson,Rune Dietz,Simon Wilson,Marina Arregui,Niladri Basu,Bridget Bergquist,
Eva Cecilie Bonefeld-Jørgensen,João Canário,Eva Kruemmel,Miling Li,Melissa McKinney,&amp;quot;John Munthe&amp;quot,Michelle Nerentorp,Tove Petersson, Marianna Pinzone, Henrik Skov, Jens Søndergaard</t>
  </si>
  <si>
    <t>P165</t>
  </si>
  <si>
    <t>43</t>
  </si>
  <si>
    <t>Atmospheric Observations of Gaseous Elemental Mercury in Industrial and Background Areas of the Southern Baikal Region</t>
  </si>
  <si>
    <t>Lutskin Evgenii Sergeevich</t>
  </si>
  <si>
    <t>Shikhovtsev M.Y., Molozhnikova Y.V., Obolkin V.A., Khodzher T.V.</t>
  </si>
  <si>
    <t>P166</t>
  </si>
  <si>
    <t>133</t>
  </si>
  <si>
    <t>Mercury Speciation on Total Mercury and Methylmercury in the Water Column of the Anthropogenically Impacted Estuary</t>
  </si>
  <si>
    <t>Prentiss Balcom, Elsie Sunderland, Mayuri Bhatia, Aaron Schultz, Tanveer Adyel, Asif Qureshi</t>
  </si>
  <si>
    <t>P167</t>
  </si>
  <si>
    <t>41</t>
  </si>
  <si>
    <t>Study on the Development of an Automated Cold-Vapor Atomic Fluorescence Spectrometry (CV-AFS) Analysis System for</t>
  </si>
  <si>
    <t>Naoko Hishida</t>
  </si>
  <si>
    <t>Da-Wei Lin, Ling-Rong Liao, Alvin Chua, Yasuyuki Yamada, Ryuta Kurokawa, Akihiro Mitsui, Yumi Shimoz</t>
  </si>
  <si>
    <t>16:15-16:45</t>
  </si>
  <si>
    <t>P168</t>
  </si>
  <si>
    <t>Superseded by confirmed poster</t>
  </si>
  <si>
    <t>40</t>
  </si>
  <si>
    <t>Simultaneous Measurement Using Gold Amalgamation Enrichment Mode and Direct Mode: A Creative Way Using Atomic Fluorescence Analytical Method For Mercury Analysis In Environmental Waters</t>
  </si>
  <si>
    <t>Yumi Shimozuru</t>
  </si>
  <si>
    <t>Akihiro Mitsui, Ryuta Kurokawa, Naoko Hishida, Alvin Chua, Hazumu Kinoshita, Yasuyuki Yamada</t>
  </si>
  <si>
    <t>Current App.jsx uses a confirmed-poster record for participant-facing display.</t>
  </si>
  <si>
    <t>P169</t>
  </si>
  <si>
    <t>53</t>
  </si>
  <si>
    <t>Automated, Dynamic, SI-Traceable Field Calibration of Atmospheric Elemental and Oxidised Mercury</t>
  </si>
  <si>
    <t>Seth Lyman</t>
  </si>
  <si>
    <t>Colleen Jones, KarLee Zager, Trevor O'Neil</t>
  </si>
  <si>
    <t>P170</t>
  </si>
  <si>
    <t>0.5833333333333334</t>
  </si>
  <si>
    <t>103</t>
  </si>
  <si>
    <t>Hg Compounds Dynamic and Cycling in a Periodically Stratified Mountain Lake (Pyrenees, France/Spain): Potential Influence of Climate Change</t>
  </si>
  <si>
    <t>H. Cervello, E. Tessier, B. Duval, M. Sébilo, P. Anschutz,
 A. Thibaut de Chanvalon</t>
  </si>
  <si>
    <t>P171</t>
  </si>
  <si>
    <t>0.59375</t>
  </si>
  <si>
    <t>79</t>
  </si>
  <si>
    <t>New Pathway of Mercury Methylation in Methanogen (M. Hungatei JF-1)</t>
  </si>
  <si>
    <t>Ligang HU</t>
  </si>
  <si>
    <t>Jun Gao, Jianbo Shi, Yongguang Yin, Guibin Jiang</t>
  </si>
  <si>
    <t>P172</t>
  </si>
  <si>
    <t>0.6041666666666666</t>
  </si>
  <si>
    <t>160</t>
  </si>
  <si>
    <t>Organic Carbon Controls on Mercury Dynamics in Mangrove Sediments of the Godavari Estuary, India</t>
  </si>
  <si>
    <t>Shrutee Jain</t>
  </si>
  <si>
    <t>Syed Azharuddin Hashmi, Asif Qureshi</t>
  </si>
  <si>
    <t>P173</t>
  </si>
  <si>
    <t>0.6145833333333334</t>
  </si>
  <si>
    <t>136</t>
  </si>
  <si>
    <t>Are Peatlands Doomed to Be Hg Hotspots: Hg Critical Zone Fate Revealed with Micromet, Isotopes, Genomics, and an Ice-Age</t>
  </si>
  <si>
    <t>Kevin Bishop</t>
  </si>
  <si>
    <t>Chuxian Li, Wei Zhu, Haijun Peng, Stefan Osterwalder</t>
  </si>
  <si>
    <t>P174</t>
  </si>
  <si>
    <t>0.625</t>
  </si>
  <si>
    <t>61</t>
  </si>
  <si>
    <t>Mercury in Sediments of Thermokarst Lakes in the Malozemelskaya Tundra: Anthropogenic or Biovector Pollution?</t>
  </si>
  <si>
    <t>Yury G. Tatsiy</t>
  </si>
  <si>
    <t>P175</t>
  </si>
  <si>
    <t>0.6354166666666666</t>
  </si>
  <si>
    <t>174</t>
  </si>
  <si>
    <t>Methylmercury Formation and Transfer Across the Aquatic-Terrestrial Food Web in Pristine, Rewetted, and Beaver-Created Forest Wetlands</t>
  </si>
  <si>
    <t>Karin Eklöf</t>
  </si>
  <si>
    <t>Tracy Wang, Marcus Wallin, Frauke Ecke, Johnny de Jong, Danny Chun Pong Lau, Willem Goedkoop</t>
  </si>
  <si>
    <t>P176</t>
  </si>
  <si>
    <t>0.6458333333333334</t>
  </si>
  <si>
    <t>69</t>
  </si>
  <si>
    <t>Evaluating Impacts of Boreal Peatland Rewetting on Total and Methylmercury in Surface Water</t>
  </si>
  <si>
    <t>Mengxi Wang</t>
  </si>
  <si>
    <t>Karin Eklöf, Marcus Wallin, Gustaf Granath</t>
  </si>
  <si>
    <t>P177</t>
  </si>
  <si>
    <t>97</t>
  </si>
  <si>
    <t>Mercury in Bottom Sediments of Russian Arctic Lakes</t>
  </si>
  <si>
    <t>M.I. Dinu</t>
  </si>
  <si>
    <t>P178</t>
  </si>
  <si>
    <t>176</t>
  </si>
  <si>
    <t>Short-Term Variability of Mercury in Surface Snow at Urban and Background Sites During the Alaskan Layered Pollution and Chemical Analysis Field Campaign in Fairbanks, Alaska</t>
  </si>
  <si>
    <t>Massimiliano Vardè</t>
  </si>
  <si>
    <t>Federico Scoto , William Simpson , Stefano Decesari</t>
  </si>
  <si>
    <t>P179</t>
  </si>
  <si>
    <t>Science Policy Interface on Chemicals, Waste and Pollution: A New Intergovernmental Panel</t>
  </si>
  <si>
    <t>Sandra Averous-Monnery</t>
  </si>
  <si>
    <t>Oral Presentation  will contribute to Special Session</t>
  </si>
  <si>
    <t>P180</t>
  </si>
  <si>
    <t>155</t>
  </si>
  <si>
    <t>Effectiveness Evaluation – A Model Case of Science Policy Interface</t>
  </si>
  <si>
    <t>P181</t>
  </si>
  <si>
    <t>215</t>
  </si>
  <si>
    <t>Interdisciplinary Approaches to Address Mercury Pollution in ASGM: Bridging Environmental Science, Social Research, and Policy Implementation</t>
  </si>
  <si>
    <t>Dominique Bally Kpokro</t>
  </si>
  <si>
    <t>Gavin Hilson</t>
  </si>
  <si>
    <t>P182</t>
  </si>
  <si>
    <t>1070</t>
  </si>
  <si>
    <t>From Emissions to Metabolism: Addressing Gaps in National Mercury Accounting</t>
  </si>
  <si>
    <t>Yvonne Ryan-Fogarty</t>
  </si>
  <si>
    <t>Lynch, D.</t>
  </si>
  <si>
    <t>P183</t>
  </si>
  <si>
    <t>26</t>
  </si>
  <si>
    <t>Bridging Research and Policy for Mercury Management in Australia: Outcomes from the 2025 Mercury Australia Network Workshop</t>
  </si>
  <si>
    <t>Darren Koppel, Jenny Fisher, Simon Apte, Larissa Schneider</t>
  </si>
  <si>
    <t>P184</t>
  </si>
  <si>
    <t>152</t>
  </si>
  <si>
    <t>From Fragmentation to Integration: Strengthening the Science-Policy Interface for Mercury Governance in India</t>
  </si>
  <si>
    <t>Jagannath Biswakarma</t>
  </si>
  <si>
    <t>P185</t>
  </si>
  <si>
    <t>98</t>
  </si>
  <si>
    <t>Large-Scale Mercury Stabilisation: Industrial Case Studies in Chlor-Alkali Decommissioning and Gold Mining Across Europe and Latin America</t>
  </si>
  <si>
    <t>Angels Castellnou</t>
  </si>
  <si>
    <t>Philippe Zanettin</t>
  </si>
  <si>
    <t>P186</t>
  </si>
  <si>
    <t>195</t>
  </si>
  <si>
    <t>Minamata Convention Report on the Challenges in Eliminating Mercury-Added Cosmetics</t>
  </si>
  <si>
    <t>P187</t>
  </si>
  <si>
    <t>197</t>
  </si>
  <si>
    <t>From Pilots to Global Action: Insights on Eliminating Mercury and Harmful Chemicals from Cosmetics</t>
  </si>
  <si>
    <t>Grace Halla</t>
  </si>
  <si>
    <t>P188</t>
  </si>
  <si>
    <t>221</t>
  </si>
  <si>
    <t>A Behavioural Analysis of Social, Structural and Psychological Drivers of Skin Lightening in Gabon, Sri Lanka and Jamaica</t>
  </si>
  <si>
    <t>Ammaarah Martinus</t>
  </si>
  <si>
    <t>Elena Altieri</t>
  </si>
  <si>
    <t>P189</t>
  </si>
  <si>
    <t>183</t>
  </si>
  <si>
    <t>Updated Review of Post-2022 Literature and the Development of a Global Database for Mercury-Added Skin-Lightening Products</t>
  </si>
  <si>
    <t>Ashley Bastiansz</t>
  </si>
  <si>
    <t>Mark Burton, Tahlia Ali Shah, Allison Foster, David Evers, Malgorzata Stylo</t>
  </si>
  <si>
    <t>P190</t>
  </si>
  <si>
    <t>178</t>
  </si>
  <si>
    <t>Assessing Mercury in Skin-Lightening Products Using a Standardised Monitoring Framework: Evidence from Gabon, Jamaica, and Sri Lanka</t>
  </si>
  <si>
    <t>Mark Burton, Tahlia Ali Shah, Helen Yurek, Cassie Gilham, David Evers, Malgorzata Stylo, 
Thamali Dhanushka, Leslie Hoo Fung, Guylène Nkoane Ndoutoume, Julie Désirée Imelda Mengue Bakaka Aboghe, Jean Hervé Mve Beh</t>
  </si>
  <si>
    <t>P191</t>
  </si>
  <si>
    <t>109</t>
  </si>
  <si>
    <t>The Quantitative Analysis of Mercury in Skin Whitening Creams Available in the Indian Market</t>
  </si>
  <si>
    <t>Piyush Mohapatra, Alka Dubey</t>
  </si>
  <si>
    <t>P192</t>
  </si>
  <si>
    <t>158</t>
  </si>
  <si>
    <t>Mercury Exposure from Cosmetics and Personal Care Products: Health Risk Assessment and Evaluation of Regulatory Effectiveness in Kerala, India</t>
  </si>
  <si>
    <t>Swathy Krishna</t>
  </si>
  <si>
    <t>Mahesh Mohan</t>
  </si>
  <si>
    <t>P193</t>
  </si>
  <si>
    <t>56</t>
  </si>
  <si>
    <t>Mercury in Skin-Lightening Cosmetics Available to Japanese Consumers: Evidence from Rapid Screening and Confirmatory Analysis</t>
  </si>
  <si>
    <t>Koichi Haraguchi</t>
  </si>
  <si>
    <t>Mitsugu Saito, Chacriya Malasuk, Kyaw Nyunt Maung, Yumi Ushikai, Kanako Nagatomi</t>
  </si>
  <si>
    <t>P194</t>
  </si>
  <si>
    <t>207</t>
  </si>
  <si>
    <t>Beyond Borders and Beauty : Tackling Mercury in Skin-Lightening Products – Lessons from Sri Lanka in a Three-Country Initiative</t>
  </si>
  <si>
    <t>Inoka Kamalinie Suraweera</t>
  </si>
  <si>
    <t>Chandanee Withana, Chalani Rubasinghe, Suveendran Thirupathi</t>
  </si>
  <si>
    <t>P195</t>
  </si>
  <si>
    <t>226</t>
  </si>
  <si>
    <t>Multi-Stakeholder Approaches Towards Managing Mercury-Containing Cosmetic Products in the Philippines</t>
  </si>
  <si>
    <t>Jashaf Shamir Lorenzo</t>
  </si>
  <si>
    <t>P196</t>
  </si>
  <si>
    <t>14</t>
  </si>
  <si>
    <t>Values of Access to Information, Inclusion and Participation Create the Enabling Environment for Change</t>
  </si>
  <si>
    <t>Ruth Spencer</t>
  </si>
  <si>
    <t>P197</t>
  </si>
  <si>
    <t>200</t>
  </si>
  <si>
    <t>Non-Profit/Public Partnership Targets Harmful Skin Lightening Products</t>
  </si>
  <si>
    <t>Lori Copan</t>
  </si>
  <si>
    <t>Michael Bender</t>
  </si>
  <si>
    <t>P198</t>
  </si>
  <si>
    <t>205</t>
  </si>
  <si>
    <t>Eliminating Production and Online Trade in Mercury Added Cosmetics</t>
  </si>
  <si>
    <t>Elena Lymberidi-Settimo</t>
  </si>
  <si>
    <t>P199</t>
  </si>
  <si>
    <t>179</t>
  </si>
  <si>
    <t>Advances and Challenges in Anthropogenic Mercury Emission Assessment: Insights from the Emissions Database for Global Atmospheric Research Speciated Inventory For Global Emission Hot‑Spot Monitoring</t>
  </si>
  <si>
    <t>Marilena Muntean</t>
  </si>
  <si>
    <t>Monica Crippa , Diego Guizzardi, Federico Pagani , Manjola Banja , Corrado Luini , 
Sara Ciarlantini, Andrea Simonati</t>
  </si>
  <si>
    <t>P200</t>
  </si>
  <si>
    <t>15</t>
  </si>
  <si>
    <t>New Insights into the Trends and Uncertainties in Atmospheric Mercury Redox Chemistry</t>
  </si>
  <si>
    <t>Aryeh Feinberg</t>
  </si>
  <si>
    <t>A. Saiz-Lopez, C. A. Cuevas, R. P. Fernandez, J. Sonke, J. M. C. Plane, D. Roca-Sanjuán, T. Jokinen</t>
  </si>
  <si>
    <t>P201</t>
  </si>
  <si>
    <t>203</t>
  </si>
  <si>
    <t>Efficient Synergistic Removal of Multi-Form Mercury from Cement Kiln Flue Gas Using Non-Carbon Zinc Sulfide</t>
  </si>
  <si>
    <t>Mingguang Zhang</t>
  </si>
  <si>
    <t>Bingxin Huang, Hailin Zheng, Jiefeng Chen, Hongxiao Zu, Fanyue Meng, Hailong Li</t>
  </si>
  <si>
    <t>P202</t>
  </si>
  <si>
    <t>30</t>
  </si>
  <si>
    <t>Quantifying the Role of Atmospheric Oxidants (OH, O₃, and Br) in Mercury Oxidation Using an Environmental Chamber</t>
  </si>
  <si>
    <t>Alexis Harper</t>
  </si>
  <si>
    <t>Jaron Hansen, Lizzy Lowe, Dallin Giauque, Callum Flowerday, Zach Giauque</t>
  </si>
  <si>
    <t>P203</t>
  </si>
  <si>
    <t>110</t>
  </si>
  <si>
    <t>Heterogeneous Photooxidation of Atmospheric Mercury Enhanced by the Mixtures of Metallic Oxide and Sodium Chloride</t>
  </si>
  <si>
    <t>Qingru Wu</t>
  </si>
  <si>
    <t>Pei Fang</t>
  </si>
  <si>
    <t>P204</t>
  </si>
  <si>
    <t>54</t>
  </si>
  <si>
    <t>Experimental Investigation of Atmospheric Mercury Oxidation Using a 35 M³ Environmental Chamber</t>
  </si>
  <si>
    <t>Colleen Jones</t>
  </si>
  <si>
    <t>Seth Lyman, Jaron Hansen, Ryan Thalman, Jessica Haskins, Sarrah Dunham-Cheatham, Mae Gustin</t>
  </si>
  <si>
    <t>P205</t>
  </si>
  <si>
    <t>72</t>
  </si>
  <si>
    <t>Atmospheric Hg (II) Chemistry: Insights from a Chamber Study</t>
  </si>
  <si>
    <t>Sarrah M. Dunham-Cheatham</t>
  </si>
  <si>
    <t>Andrea K. Baker, Alexis Harper, Colleen Jones, Seth Lyman, Jaron Hansen, Mae Sexauer Gustin</t>
  </si>
  <si>
    <t>P206</t>
  </si>
  <si>
    <t>52</t>
  </si>
  <si>
    <t>Dual-Channel Mercury Measurements for a Smog Chamber Study</t>
  </si>
  <si>
    <t>Seth Lyman, Colleen Jones, Trevor O'Neil</t>
  </si>
  <si>
    <t>P207</t>
  </si>
  <si>
    <t>29</t>
  </si>
  <si>
    <t>Multi-Year Assessment of Atmospheric Mercury Deposition in a Tropical Urban Megacity: Flux Variability, Driving Factors, and Washout Processes</t>
  </si>
  <si>
    <t>Ly Sy Phu Nguyen</t>
  </si>
  <si>
    <t>Le Quoc Hau, Nguyen Thi Thuy, To Thi Hien</t>
  </si>
  <si>
    <t>P208</t>
  </si>
  <si>
    <t>75</t>
  </si>
  <si>
    <t>Characterisations of Atmospheric Mercury Concentration and Isotope Composition at Multiple Sites in Taiwan</t>
  </si>
  <si>
    <t>Akane Yamakawa, Da-Wei Lin</t>
  </si>
  <si>
    <t>P209</t>
  </si>
  <si>
    <t>44</t>
  </si>
  <si>
    <t>From Regional Background to Global Signals: A Long-Term Record of Atmospheric Mercury Concentrations and Wet Deposition at the Iskrba Regional Background Station (Slovenia)</t>
  </si>
  <si>
    <t>Jože Kotnik</t>
  </si>
  <si>
    <t>Ermira Begu, Igor Živkovič, Tanja Koleša, Milena Horvat</t>
  </si>
  <si>
    <t>P210</t>
  </si>
  <si>
    <t>150</t>
  </si>
  <si>
    <t>Measurements of Ambient PM2.5-Bound Mercury in Windsor, Canada</t>
  </si>
  <si>
    <t>Xiaohong Xu</t>
  </si>
  <si>
    <t>Tianchu Zhang, Yushan Su</t>
  </si>
  <si>
    <t>P211</t>
  </si>
  <si>
    <t>123</t>
  </si>
  <si>
    <t>Air Mercury Monitoring in the Baikal Lake Region, Siberia</t>
  </si>
  <si>
    <t>Sergey Sholupov, Sergey Pogarev, Vladimir Obolkin, Tamara Khodzher, Evgeniy Lutskin, Vladimir Ryzhov</t>
  </si>
  <si>
    <t>P212</t>
  </si>
  <si>
    <t>65</t>
  </si>
  <si>
    <t>Factors Influencing the Mercury Cycle in Polar Regions: Observations from Svalbard Snow and Modelling</t>
  </si>
  <si>
    <t>Veronica Amoruso</t>
  </si>
  <si>
    <t>Veronica Amoruso, Andrea Spolaor, Alfonso Saiz-Lopez</t>
  </si>
  <si>
    <t>P213</t>
  </si>
  <si>
    <t>47</t>
  </si>
  <si>
    <t>Climate-Driven Ecosystem Changes and Mercury Cycling in Arctic Fjord Systems: Insights from the REFUGE-ARCTIC Campaign</t>
  </si>
  <si>
    <t>Davide Mattio</t>
  </si>
  <si>
    <t>L.E. Heimbürger-Boavida, D.Cossa, C. Donat, A. Kleindienst, A.Koenig, A.Dommergue, H. Angot</t>
  </si>
  <si>
    <t>P214</t>
  </si>
  <si>
    <t>114</t>
  </si>
  <si>
    <t>Breaking The Sea Ice: Cracking the Seasonal Cycle of Mercury in the Arctic Cryosphere</t>
  </si>
  <si>
    <t>Stephen G. Kohler</t>
  </si>
  <si>
    <t>Pedro Duarte, Philipp Assmy, Dmitry Divine, Sebastian Gerland, Sébastien Moreau, Lars-Eric Heimbürger-Boavida</t>
  </si>
  <si>
    <t>P215</t>
  </si>
  <si>
    <t>231</t>
  </si>
  <si>
    <t>Assessment of the Mercury Stability During the Winter Period Based on its Concentrations in Atmospheric Precipitation and in Snow Cover In The South Of Western Siberia</t>
  </si>
  <si>
    <t>Eyrikh Stella</t>
  </si>
  <si>
    <t>Kolotushkina Lylia</t>
  </si>
  <si>
    <t>P216</t>
  </si>
  <si>
    <t>186</t>
  </si>
  <si>
    <t>Trophic Biomagnification of Mercury in Arctic Vertebrates Across Marine and Terrestrial Systems</t>
  </si>
  <si>
    <t>Juliana Souza-Kasprzyk</t>
  </si>
  <si>
    <t>Tuany Alves Soares, Vinícius Peruzzi de Oliveira, João Paulo Machado Torres, Przemysław Niedzielski</t>
  </si>
  <si>
    <t>P217</t>
  </si>
  <si>
    <t>135</t>
  </si>
  <si>
    <t>From Storage to Release:  Mercury Re-Emission Observed Pals a Permafrost Mound Observed at Inland Alaska</t>
  </si>
  <si>
    <t>Koyomi Nakazawa</t>
  </si>
  <si>
    <t>Osamu Nagafuchi, Tetsuo Sueyoshi, Go Iwahana, Naoko Hishida</t>
  </si>
  <si>
    <t>P218</t>
  </si>
  <si>
    <t>137</t>
  </si>
  <si>
    <t>Mercury Storage and Vulnerability in Palsa-Type Permafrost Revealed by Coupled Hg–C–N Profiles Along the Denali Highway, Alaska</t>
  </si>
  <si>
    <t>Osamu Nagafuchi</t>
  </si>
  <si>
    <t>Koyomi Nakazawa, Tetsuo Sueyoshi, Go Iwahana, Hazumu Kinoshita</t>
  </si>
  <si>
    <t>P219</t>
  </si>
  <si>
    <t>Decadal Variability of Mercury in the Sediments of Kongsfjorden, Svalbard, Arctic</t>
  </si>
  <si>
    <t>Kannan V. M.</t>
  </si>
  <si>
    <t>Saritha VK, Mahesh Mohan</t>
  </si>
  <si>
    <t>P220</t>
  </si>
  <si>
    <t>17</t>
  </si>
  <si>
    <t>Mercury in Drinking Water in a Historically Contaminated Mining Area: Integrated Assessment, Isotopic Evidence and Human 
Health Risk Evaluation in Idrija, Slovenia</t>
  </si>
  <si>
    <t>T. Kanduč, P. Vreča, I. Živković, U. Blaznik, V. Golja, N. Šimac, B. Miljavac, M. Horvat</t>
  </si>
  <si>
    <t>P221</t>
  </si>
  <si>
    <t>90</t>
  </si>
  <si>
    <t>Baseline Characterisation of Aquatic Biota Before the Reclamation of the Almadenejos Mercury Metallurgical Precinct 
(Almadén Hg Mining District) in the Context of the LIFE HERMES Project</t>
  </si>
  <si>
    <t>Pablo Higueras  , José I. Barquero  , Feliciano Bacale , Oscar A. Ávalos  , 
Ana Conde  , Javier Carrasco  , Rosina Martín  , Alicia Rivallo  , José Tejero , Joan Formosa  , Jessica Giro-Paloma  , Josep Ma. Chimenos  , Andrea Esposito</t>
  </si>
  <si>
    <t>P222</t>
  </si>
  <si>
    <t>101</t>
  </si>
  <si>
    <t>The HERMES Project: Reducing the Affectation to General Population of Cinnabar Processing Residue</t>
  </si>
  <si>
    <t>Pablo Higueras  , José I. Barquero  , Feliciano Bacale  , Oscar A. Ávalos , 
Ana Conde  , Javier Carrasco  , Rosina Martín  , Alicia Rivallo  , José Tejero , Joan Formosa  , Jessica Giro-Paloma  , Josep Ma. Chimenos  , Andrea Esposito  ,</t>
  </si>
  <si>
    <t>P223</t>
  </si>
  <si>
    <t>118</t>
  </si>
  <si>
    <t>Remote-Controlled Climate Chambers for International Collaboration in Mercury Phytoremediation Research: Current 
Developments and Open Access Opportunities</t>
  </si>
  <si>
    <t>Barna Heidel</t>
  </si>
  <si>
    <t>Daria Severyn, Vladimir Stack Lara</t>
  </si>
  <si>
    <t>P224</t>
  </si>
  <si>
    <t>190</t>
  </si>
  <si>
    <t>Mercury and Beyond: Environmental Health Risks in ASGM Across Sub-Saharan Africa</t>
  </si>
  <si>
    <t>Stephan Bose-O’Reilly</t>
  </si>
  <si>
    <t>P225</t>
  </si>
  <si>
    <t>219</t>
  </si>
  <si>
    <t>Individual Particle-Scale Characterisation of Mercury in Sediments can Predict Mercury Bioavailability Potential and Provenance the Source of Mercury</t>
  </si>
  <si>
    <t>Thomas Hoelen</t>
  </si>
  <si>
    <t>Gregory V. Lowry, Adam Dassey</t>
  </si>
  <si>
    <t>P226</t>
  </si>
  <si>
    <t>245</t>
  </si>
  <si>
    <t>Speciation and Distribution of Mercury in Soils from a Coal Mining Region in Northeast India</t>
  </si>
  <si>
    <t>Bhargov Mudhukailya</t>
  </si>
  <si>
    <t>Prantik Sharma Baruah, Asif Qureshi, Jagannath Biswakarma, Farishta Yasmin</t>
  </si>
  <si>
    <t>P227</t>
  </si>
  <si>
    <t>38</t>
  </si>
  <si>
    <t>Assessing Risks of Methylmercury Contamination in the Ankobra Estuary, Western Region, Ghana</t>
  </si>
  <si>
    <t>Sampson D. D. P. Dordaa</t>
  </si>
  <si>
    <t>Chris Gordon, Daniel Nukpezah, Abraham K. Anang &amp; Millicent S. A. Kwawu</t>
  </si>
  <si>
    <t>P228</t>
  </si>
  <si>
    <t>130</t>
  </si>
  <si>
    <t>Smart Biochar for Synergistic Mercury Remediation: A Sustainable Solution Towards Farmland Resilience, Food Security, and Public Health</t>
  </si>
  <si>
    <t>Nathan Thadeo Yoashi</t>
  </si>
  <si>
    <t>Ling-Chu Chien, Hsing-Cheng His</t>
  </si>
  <si>
    <t>P229</t>
  </si>
  <si>
    <t>39</t>
  </si>
  <si>
    <t>Mercury in the Bohai Sea Food Web: Quantifying Trophic Transfer, Sources, and Health Risks</t>
  </si>
  <si>
    <t>Deming Han</t>
  </si>
  <si>
    <t>P230</t>
  </si>
  <si>
    <t>91</t>
  </si>
  <si>
    <t>Presence of Mercury in Archaeological Sites: The Tartessian Sanctuary of La Bienvenida, Adjacent to the Roman Town of Sisapo (Ciudad Real Province, Spain).</t>
  </si>
  <si>
    <t>Mar Zarzalejos</t>
  </si>
  <si>
    <t>O.A. Ávalos, G. Esteban, P. Hevia, L. Mansilla, P. Higueras</t>
  </si>
  <si>
    <t>P231</t>
  </si>
  <si>
    <t>1071</t>
  </si>
  <si>
    <t>Mercury Concentrations in the Muscles and Liver of Waterbirds from the Curonian Lagoon, Kaliningrad Region (Russia)</t>
  </si>
  <si>
    <t>Petr M. Glazov</t>
  </si>
  <si>
    <t>Julia A.Loshchagina,Tatiana B.Kamshilova,Yuri G.Udodenko</t>
  </si>
  <si>
    <t>P232</t>
  </si>
  <si>
    <t>1072</t>
  </si>
  <si>
    <t>Mercury Concentrations in the Organs of Waterfowl from Central Yakutia (Russia)</t>
  </si>
  <si>
    <t>Julia A. Loshchagina, Evgeniy V. Shemyakin, Tatiana B. Kamshilova, Petr M. Glazov</t>
  </si>
  <si>
    <t>P233</t>
  </si>
  <si>
    <t>Beyond Awareness: Trust, Behavioural Economics, and the Gold Buyer as a Catalyst for Mercury-Free Artisanal Mining in Mali</t>
  </si>
  <si>
    <t>Albekaye Samake</t>
  </si>
  <si>
    <t>P234</t>
  </si>
  <si>
    <t>Assessment of Bioaccumulation Potential of Selected Heavy Metals through Edible Macrophytes</t>
  </si>
  <si>
    <t>Thokchom Grebilla</t>
  </si>
  <si>
    <t>Wazir Alam</t>
  </si>
  <si>
    <t>P235</t>
  </si>
  <si>
    <t>Temporal and Spatial Comparison of Sedimentary Mercury in Vembanad Lake System, Kerala, India</t>
  </si>
  <si>
    <t>Arun Ramachandran</t>
  </si>
  <si>
    <t>Megha Rajan, Arun Ramachandran, Mahesh Mohan</t>
  </si>
  <si>
    <t>P236</t>
  </si>
  <si>
    <t>32</t>
  </si>
  <si>
    <t>Mercury Exposure: It's Occupational…Right?</t>
  </si>
  <si>
    <t>Daniel Cronje</t>
  </si>
  <si>
    <t>P237</t>
  </si>
  <si>
    <t>421</t>
  </si>
  <si>
    <t>Early-Life Invisible Exposure: Mercury in Breastmilk and Neonatal Vulnerability in the Brazilian Amazon</t>
  </si>
  <si>
    <t>Marta Turull</t>
  </si>
  <si>
    <t>Mônica Cunha, Montse Marquès, Jean R. D. Guimarães, Rejane C. Marques, Sergi Díez</t>
  </si>
  <si>
    <t>P238</t>
  </si>
  <si>
    <t>Accelerating the Transition to Mercury-Free Healthcare: WHO Leadership, Global Partnerships, and Implementation of the Minamata Convention</t>
  </si>
  <si>
    <t>Elena Jardan</t>
  </si>
  <si>
    <t>P239</t>
  </si>
  <si>
    <t>102</t>
  </si>
  <si>
    <t>Immune Toxicity of Methylmercury Following Oral Exposure at Environmentally Relevant Levels Involves Myeloid HIF-1α Regulation</t>
  </si>
  <si>
    <t>Guangbo Qu</t>
  </si>
  <si>
    <t>Ziniu Wang, Linlin Yao, Guibin Jiang</t>
  </si>
  <si>
    <t>P240</t>
  </si>
  <si>
    <t>Maternal Hair Mercury Levels and Associations with Neonatal Outcomes in the Brazilian Amazon</t>
  </si>
  <si>
    <t>P241</t>
  </si>
  <si>
    <t>Human Health Risk Assessment of Mercury Exposure via Consumable Fish From East Kolkata Wetlands: Evidence from Kolkata Markets</t>
  </si>
  <si>
    <t>Manish Kumar Sharma</t>
  </si>
  <si>
    <t>Indrani Das, Vipin Kumar</t>
  </si>
  <si>
    <t>P242</t>
  </si>
  <si>
    <t>271</t>
  </si>
  <si>
    <t>Hemp Cultivation Reduces Mercury Volatilisation but Increases Solubility and Leaching Potential in Contaminated Soils</t>
  </si>
  <si>
    <t>Antoine Delemazure</t>
  </si>
  <si>
    <t>Razieh Khorabloo, Erik Meers , Filip M.G. Tack</t>
  </si>
  <si>
    <t>P243</t>
  </si>
  <si>
    <t>68</t>
  </si>
  <si>
    <t>Role of Humic Substances in the Speciation, Mobility, and Transformation of Mercury in Natural Aquatic Systems</t>
  </si>
  <si>
    <t>Safonov Vladidmir</t>
  </si>
  <si>
    <t>P244</t>
  </si>
  <si>
    <t>248</t>
  </si>
  <si>
    <t>Occurrence of Mercury and Trace Elements in Tea Leaves from a Coal Mining Region in Northeast India</t>
  </si>
  <si>
    <t>Prantik Sharma Baruah</t>
  </si>
  <si>
    <t>Bhargov Mudhukailya, Asif Qureshi, Jagannath Biswakarma, Farishta Yasmin</t>
  </si>
  <si>
    <t>P245</t>
  </si>
  <si>
    <t>259</t>
  </si>
  <si>
    <t>Geochemical Redistribution Of Mercury In Freshly Added And Aged Mining Soil Systems</t>
  </si>
  <si>
    <t>Sandra Carrasco-Gil</t>
  </si>
  <si>
    <t>Cristina Ortega-Villasante, María-José Sierra-Herraiz, Carolina Escobar, Elena Díaz, Rocío Millán, Luis E. Hernández</t>
  </si>
  <si>
    <t>P246</t>
  </si>
  <si>
    <t>Multivariate Analysis of Mercury : Geochemical Associations and Hydrothermal Signatures</t>
  </si>
  <si>
    <t>G. Satheesh</t>
  </si>
  <si>
    <t>P247</t>
  </si>
  <si>
    <t>222</t>
  </si>
  <si>
    <t>Remote Sampling Technique for Hg Fractionation in Ambient Air</t>
  </si>
  <si>
    <t>Tony Rogers, Amauris H Hernandez, Timothy Williams, Teodor Andron</t>
  </si>
  <si>
    <t>P248</t>
  </si>
  <si>
    <t>11:05-11:15</t>
  </si>
  <si>
    <t>1063</t>
  </si>
  <si>
    <t>Mercury Removal Through Adsorption with Coal Fly Ash and Bottom Ash: Analysis Using Box-Behnken Design</t>
  </si>
  <si>
    <t>Fuzi Suciati Sastraatmaja</t>
  </si>
  <si>
    <t>Fuzi Suciati Sastraatmaja, Dwindrata B. Aviantara, Rochmad Onig Witama, Susi Sulistia, Muhammad Ihsan Sofyan, Esti Mega Mulidayanti, Agus Sudaryanto, Shohei Nishihama, Yasuhiro Ishibasi, Tetsuro Agusa</t>
  </si>
  <si>
    <t>P249</t>
  </si>
  <si>
    <t>11:15-11:30</t>
  </si>
  <si>
    <t>119</t>
  </si>
  <si>
    <t>DeSOx Technology, an Effective System for Reducing Hg Emissions from Fossil and Alternative Fuel Combustion, Using a Precipitant and Continuous Hg Measurement</t>
  </si>
  <si>
    <t>Karel Borovec</t>
  </si>
  <si>
    <t>Lukaš Pilař, Zbyszek Szeliga, Zdeněk Neufinger,</t>
  </si>
  <si>
    <t>P250</t>
  </si>
  <si>
    <t>11:30-11:45</t>
  </si>
  <si>
    <t>1067</t>
  </si>
  <si>
    <t>Eliminating Mercury from Pore Characterisation Using Eutectic Gallium-Indium Porosimetry</t>
  </si>
  <si>
    <t>Stefan Stauder</t>
  </si>
  <si>
    <t>Martin Thomas, Francisco Sotomayor, Alyssa Henderson</t>
  </si>
  <si>
    <t>P251</t>
  </si>
  <si>
    <t>11:45-12:00</t>
  </si>
  <si>
    <t>125</t>
  </si>
  <si>
    <t>Zeeman AAS as a Universal Approach for Mercury Determination in Samples with Complex Matrices</t>
  </si>
  <si>
    <t>Alexey Shashko</t>
  </si>
  <si>
    <t>Sergey Sholupov, Sergey Pogarev, Vladimir Ryzhov, Nikolay Mashyanov</t>
  </si>
  <si>
    <t>P252</t>
  </si>
  <si>
    <t>12:00-12:15</t>
  </si>
  <si>
    <t>67</t>
  </si>
  <si>
    <t>Study on the Adsorption Mechanism of Hg(0) by Air Plasma Modified Carbon Nanotubes</t>
  </si>
  <si>
    <t>Jinjing Luo</t>
  </si>
  <si>
    <t>Ruoyu Li,Siqi Zhuo</t>
  </si>
  <si>
    <t>P253</t>
  </si>
  <si>
    <t>12:15-12:30</t>
  </si>
  <si>
    <t>73</t>
  </si>
  <si>
    <t>Comparison of Selective Capture of Oxidised Mercury by Activated Carbon and Phosphate Glass Sorbents for Ambient Air and Waste Streams</t>
  </si>
  <si>
    <t>Laurel Sharpless, Krista Carlson, Mae Sexauer Gustin</t>
  </si>
  <si>
    <t>P254</t>
  </si>
  <si>
    <t>12:30-12:45</t>
  </si>
  <si>
    <t>255</t>
  </si>
  <si>
    <t>Stable Isotopes and Mercury in the Trophic Niche of the ‘Lesser Goa Mustard Tarantula’ Thrigmopoeus Truculentus (Pocock, 1899), Goa, India</t>
  </si>
  <si>
    <t>Manoj Borkar</t>
  </si>
  <si>
    <t>K Srikanth, Asif Qureshi</t>
  </si>
  <si>
    <t>P255</t>
  </si>
  <si>
    <t>45</t>
  </si>
  <si>
    <t>“Food of the Future”: Mercury Determination in Microalgae-Based Supplements by Direct Analysis</t>
  </si>
  <si>
    <t>Valentina Carrara</t>
  </si>
  <si>
    <t>P256</t>
  </si>
  <si>
    <t>51</t>
  </si>
  <si>
    <t>Department of Energy Savannah River Site Mercury Legacy: Progress in Addressing Technical Challenges</t>
  </si>
  <si>
    <t>Christopher J. Bannochie</t>
  </si>
  <si>
    <t>B. B. Looney, H. H. Vermeulen, A. J. Boggess, T. L. White, V. R. Amiri, C. Fewox</t>
  </si>
  <si>
    <t>P257</t>
  </si>
  <si>
    <t>83</t>
  </si>
  <si>
    <t>Direct Mercury Speciation in Solid Samples Using Thermal Release Coupled to Electrothermal Atomic Absorption Spectrometry</t>
  </si>
  <si>
    <t>Dmitrii Yur'evich Troitskii</t>
  </si>
  <si>
    <t>Olga V. Shuvaeva, Ivan A. Bekesha</t>
  </si>
  <si>
    <t>P258</t>
  </si>
  <si>
    <t>86</t>
  </si>
  <si>
    <t>Rapid Combustion and Trap Method for Concurrent Determination of Total Mercury and Sample Preconcentration for Stable Isotopes Analysis</t>
  </si>
  <si>
    <t>Nimelan Veerasamy</t>
  </si>
  <si>
    <t>Nicolas V. Ortiz, Jeroen E. Sonke, David S. McLagan</t>
  </si>
  <si>
    <t>P259</t>
  </si>
  <si>
    <t>100</t>
  </si>
  <si>
    <t>Performance Evaluation of a Novel Screening Tool for Mercury in Skin-Lightening Creams to Overcome Analytical Burden</t>
  </si>
  <si>
    <t>Sora Yasumatsu</t>
  </si>
  <si>
    <t>Kitichai Suwan, Tan Mei Shin, Hazumu Kinoshita, Alvin Chua, Tomoaki Watanabe</t>
  </si>
  <si>
    <t>P260</t>
  </si>
  <si>
    <t>252</t>
  </si>
  <si>
    <t>A Validated Method for Accurate Isotopic Analysis of Total Mercury, Methylmercury and Inorganic Mercury in Environmental Samples</t>
  </si>
  <si>
    <t>Elizabeth Crowther</t>
  </si>
  <si>
    <t>Dalton Reynolds, Ben Wozniak, Hakan Gurleyuk</t>
  </si>
  <si>
    <t>P261</t>
  </si>
  <si>
    <t>A Novel Device Based on a Polymer Inclusion Membrane for the Monitoring of Hg in a Wastewater-Based Epidemiology. A Preliminary Study In Natural Waters</t>
  </si>
  <si>
    <t>Sergi Diez,  Clàudia Fontàs</t>
  </si>
  <si>
    <t>P262</t>
  </si>
  <si>
    <t>261</t>
  </si>
  <si>
    <t>Training Tomorrow’s Policymakers in Science‑Informed Environmental Governance</t>
  </si>
  <si>
    <t>P263</t>
  </si>
  <si>
    <t>Functional and Structural Dynamics of merA: Molecular Profiling and in Silico Insights Into Hg2+ Reduction and Bioremediation By the MR1_IITISM Strain</t>
  </si>
  <si>
    <t>Indrani Das</t>
  </si>
  <si>
    <t>Manish Kumar Sharma, Rakesh De, Vipin Kumar</t>
  </si>
  <si>
    <t>P264</t>
  </si>
  <si>
    <t>Methyl Mercury Toxicity and Nanomaterial-Based Remediation</t>
  </si>
  <si>
    <t>P265</t>
  </si>
  <si>
    <t>Decoupled Mercury and Methylmercury Dynamics Along a River-to-Terminal-Lake Gradient in the Korgalzhyn Nature Reserve, Kazakhstan</t>
  </si>
  <si>
    <t>Alisher Alibekov</t>
  </si>
  <si>
    <t>Seunghee Han  , and Woojin Lee</t>
  </si>
  <si>
    <t>P266</t>
  </si>
  <si>
    <t>218</t>
  </si>
  <si>
    <t>Mercury Levels and Fluxes from Major Rivers in Japan</t>
  </si>
  <si>
    <t>Toshio Sudo</t>
  </si>
  <si>
    <t>Kohji Marumoto, Kohki Furusho,Haruto Nakayama, Kosei Endo, Sun Chang, Takaaki Itai</t>
  </si>
  <si>
    <t>P267</t>
  </si>
  <si>
    <t>1064</t>
  </si>
  <si>
    <t>Dimethylmercury Contributes to Mercury Burdens in the California Current System</t>
  </si>
  <si>
    <t>Erik T. Paulson</t>
  </si>
  <si>
    <t>Johannes West, Julia M. Diaz, Amina T. Schartup</t>
  </si>
  <si>
    <t>P268</t>
  </si>
  <si>
    <t>70</t>
  </si>
  <si>
    <t>Deep-Sea Tailings Placement: An Emerging Source of Mercury to the Deep Sea</t>
  </si>
  <si>
    <t>Omar Keshk</t>
  </si>
  <si>
    <t>P. Brandl, S. Petersen, C. Winter, G. von Rönn, J. Gottschalk, L. Heimbürger, J. Howe, S. Sander</t>
  </si>
  <si>
    <t>P269</t>
  </si>
  <si>
    <t>64</t>
  </si>
  <si>
    <t>Impact of the U-768 Wreck on Mercury Concentrations in Sediments, Bottom Waters, and Marine Organisms</t>
  </si>
  <si>
    <t>Roksana Malec</t>
  </si>
  <si>
    <t>A. Popławska, A. Zarzeczańska, J. Bełdowski, M. Bełdowska, M. Sapota, A. Dziubińska</t>
  </si>
  <si>
    <t>P270</t>
  </si>
  <si>
    <t>66</t>
  </si>
  <si>
    <t>Mercury Concentrations in Feathers, Guano, and Eggshells of Pygoscelis Penguins from Admiralty Bay (Antarctica)</t>
  </si>
  <si>
    <t>Anna Panasiuk, Kinga Hoszek-Mandera, Robert Bialik, Katarzyna Fudala, Magdalena Bełdowska</t>
  </si>
  <si>
    <t>P271</t>
  </si>
  <si>
    <t>154</t>
  </si>
  <si>
    <t>A Two-Step Reversible Model for Hg (II) Photoreduction: The Synergistic Roles of Thiolic DOM and Bicarbonate in Seawater</t>
  </si>
  <si>
    <t>Sangwoo Eom, Huu-Viet Nguyen, Asif Qureshi</t>
  </si>
  <si>
    <t>P272</t>
  </si>
  <si>
    <t>161</t>
  </si>
  <si>
    <t>Assessment of Heavy Metal Concentration in the Pra River at the Shama District, Western Region, Ghana</t>
  </si>
  <si>
    <t>Winnifred Aku  Adotey</t>
  </si>
  <si>
    <t>Prof. Benedicta Y. Fosu-Mensah, Prof. Daniel Nukpezah</t>
  </si>
  <si>
    <t>P273</t>
  </si>
  <si>
    <t>Mercury in the Indian Coastal and Open-Ocean Water Column: Challenges and Future Directions</t>
  </si>
  <si>
    <t>Sneha Hanchinamani</t>
  </si>
  <si>
    <t>Manisha UK, , Krushna vudamala</t>
  </si>
  <si>
    <t>P274</t>
  </si>
  <si>
    <t>Mercury Pollution in River Ecosystems: Implications for Biodiversity Conservation</t>
  </si>
  <si>
    <t>Mohd Kamaluddin Sheikh</t>
  </si>
  <si>
    <t>P275</t>
  </si>
  <si>
    <t>Quantifying Carbonate Turnover and Mercury Source Variations Along the Walvis Ridge Hotspot Trail, South Atlantic Ocean</t>
  </si>
  <si>
    <t>Siddhant</t>
  </si>
  <si>
    <t>Huu-Viet Nguyen, Seunghee Han</t>
  </si>
  <si>
    <t>P276</t>
  </si>
  <si>
    <t>Active confirmed poster</t>
  </si>
  <si>
    <t>Confirmed participant-facing poster added by current App.jsx. Source workbook related record: Human health row 13.</t>
  </si>
  <si>
    <t>P277</t>
  </si>
  <si>
    <t>Maternal hair mercury levels and associations with neonatal outcomes in the Brazilian Amazon</t>
  </si>
  <si>
    <t>Mônica Cunha2,3, Montse Marquès1, Jean R. D. Guimarães4, Rejane C. Marques5, Sergi Díez1</t>
  </si>
  <si>
    <t>Confirmed participant-facing poster added by current App.jsx. Source workbook related record: Human health row 14.</t>
  </si>
  <si>
    <t>P278</t>
  </si>
  <si>
    <t>Human Health Risk Assessment of Mercury Exposure via Consumable Fish from East Kolkata Wetlands: Evidence from Kolkata Markets</t>
  </si>
  <si>
    <t>Confirmed participant-facing poster added by current App.jsx. Source workbook related record: Human health row 15.</t>
  </si>
  <si>
    <t>P279</t>
  </si>
  <si>
    <t>Simultaneous Measurement Using Gold Amalgamation Enrichment Mode and Direct Mode: A Creative Way Using Atomic Fluorescence Analytical Method for Mercury Analysis in Environmental Waters</t>
  </si>
  <si>
    <t>Confirmed participant-facing poster added by current App.jsx. Source workbook related record: Effectiveness Evaluation row 28.</t>
  </si>
  <si>
    <t>P280</t>
  </si>
  <si>
    <t>Automated, dynamic, SI-traceable field calibration of atmospheric elemental and oxidized mercury</t>
  </si>
  <si>
    <t>Confirmed participant-facing poster added by current App.jsx. Source workbook related record: Effectiveness Evaluation row 29.</t>
  </si>
  <si>
    <t>P281</t>
  </si>
  <si>
    <t>Evidence of Reduced Methylmercury Levels in Freshwater Ecosystems: A Decade of Monitoring under the Minamata Convention</t>
  </si>
  <si>
    <t>Confirmed participant-facing poster added by current App.jsx. Source workbook related record: Effectiveness Evaluation row 18.</t>
  </si>
  <si>
    <t>P282</t>
  </si>
  <si>
    <t>81</t>
  </si>
  <si>
    <t>Development of a Diagnostic Method for Prioritizing Remediation Measures for Residual Mercury in Mercury-Contaminated Areas</t>
  </si>
  <si>
    <t>Kohji Marumoto</t>
  </si>
  <si>
    <t>Yuya Tada, Masumi Marumoto, Takashi Tomiyasu, Hitoshi Kodamatani, Gusti Made Kusnarta</t>
  </si>
  <si>
    <t>App.jsx confirmedPosters</t>
  </si>
  <si>
    <t>Confirmed participant-facing poster added by current App.jsx.</t>
  </si>
  <si>
    <t>P283</t>
  </si>
  <si>
    <t>89</t>
  </si>
  <si>
    <t>Legal and Illegal Gold Mining in the Amazon: Mercury Species Distribution and Stable Isotope Discrimination in a Gold Mine</t>
  </si>
  <si>
    <t>Naomi Nitschke</t>
  </si>
  <si>
    <t>Stéphane Guedron, Jennifer Harris, Emmanuel Tessier, Sylvain Campillo, Elaheh Lotfi, David Amouroux</t>
  </si>
  <si>
    <t>P284</t>
  </si>
  <si>
    <t>108</t>
  </si>
  <si>
    <t>Distribution of Total and Organic Mercury Concentrations in Soils from an Artisanal and Small-Scale Gold Mining Area and Mercury Elution from Contaminated Soils</t>
  </si>
  <si>
    <t>Takashi Tomiyasu</t>
  </si>
  <si>
    <t>P285</t>
  </si>
  <si>
    <t>140</t>
  </si>
  <si>
    <t>Methylmercury formation in Hg2+-spiked paddy soils: Relationships with soil composition, temperature, and microbial communities</t>
  </si>
  <si>
    <t>Miku Bono</t>
  </si>
  <si>
    <t>K. Nishimura 1, H. Kodamatani 1, M. Yamamoto 2, Y. Takaki 2, R. Kanzaki 1, T. Tomiyasu 1</t>
  </si>
  <si>
    <t>P286</t>
  </si>
  <si>
    <t>191</t>
  </si>
  <si>
    <t>The Minamata Convention on Mercury in Slovenia: An Evaluation of Policy Implementation and Effectiveness in Relation to the Phase-Out of Dental Amalgam</t>
  </si>
  <si>
    <t>Vanja Usenik</t>
  </si>
  <si>
    <t>Adna Alilović Osolin, Dr. Janja Snoj Tratnik, Dr. Marta Jagodic Hudobivnik, Dr. Darja Mazej, Asst. Prof. Dr. David Kocman, Dr. Davor Kontić, Prof. Dr. Milena Horvat</t>
  </si>
  <si>
    <t>P287</t>
  </si>
  <si>
    <t>Scope of utilizing lichens as biomonitors of atmospheric mercury pollution in India</t>
  </si>
  <si>
    <t>Farishta Yasmin</t>
  </si>
  <si>
    <t>Sanjeeva Nayaka, Debajyoti Paul</t>
  </si>
  <si>
    <t>P288</t>
  </si>
  <si>
    <t>Active manual override</t>
  </si>
  <si>
    <t>15:45-16:00</t>
  </si>
  <si>
    <t>Study on the Development of an Automated Cold-Vapor Atomic Fluorescence Spectrometry (CV-AFS) Analysis System for USEPA Method 1631E</t>
  </si>
  <si>
    <t>Manual current-web display record from App.jsx. Overrides source occurrence/time/title details for Abstract 41 in the 5 Oct 16:00-18:00 Auditorium session.</t>
  </si>
  <si>
    <t>P289</t>
  </si>
  <si>
    <t>Award</t>
  </si>
  <si>
    <t>17:20 - 17:55</t>
  </si>
  <si>
    <t>Emerging Researcher Award</t>
  </si>
  <si>
    <t>App.jsx</t>
  </si>
  <si>
    <t>Manual current-web display record from App.jsx. Women in Science award item; no source workbook presentation row.</t>
  </si>
  <si>
    <t>P290</t>
  </si>
  <si>
    <t>18:00 - 18:45</t>
  </si>
  <si>
    <t>Lifetime Achievement Award</t>
  </si>
  <si>
    <t>(Virtual) Professor. Mae Gustin</t>
  </si>
  <si>
    <t>P291</t>
  </si>
  <si>
    <t>Manual current-web display record from App.jsx. Adds Abstract 34 to the 6 Oct ASGM session to make eight presentations.</t>
  </si>
  <si>
    <t>Event_ID</t>
  </si>
  <si>
    <t>Event_Type</t>
  </si>
  <si>
    <t>Category</t>
  </si>
  <si>
    <t>URL</t>
  </si>
  <si>
    <t>Workshop</t>
  </si>
  <si>
    <t>Ceremony</t>
  </si>
  <si>
    <t>Social</t>
  </si>
  <si>
    <t>Plenary</t>
  </si>
  <si>
    <t>Break</t>
  </si>
  <si>
    <t>Round Table</t>
  </si>
  <si>
    <t>Meal</t>
  </si>
  <si>
    <t>Keynote</t>
  </si>
  <si>
    <t>https://www.unep.org/globalmercurypartnership/events/unep-event/complexion-change-challenging-colorism-through-policy-art-and-science</t>
  </si>
  <si>
    <t>Tour</t>
  </si>
  <si>
    <t>Meeting</t>
  </si>
  <si>
    <t>Key</t>
  </si>
  <si>
    <t>Value</t>
  </si>
  <si>
    <t>Source_or_Note</t>
  </si>
  <si>
    <t>Programme_Source_File</t>
  </si>
  <si>
    <t>FullProgramme_10_sept_2026_updated_Final_AQ.xlsx</t>
  </si>
  <si>
    <t>Original source workbook. It remains separately preserved in public/ and is not modified.</t>
  </si>
  <si>
    <t>Conference_Start</t>
  </si>
  <si>
    <t>2026-10-04</t>
  </si>
  <si>
    <t>Conference_End</t>
  </si>
  <si>
    <t>2026-10-09</t>
  </si>
  <si>
    <t>Poster_Availability_Display</t>
  </si>
  <si>
    <t>Posters: All posters can be displayed throughout the conference, 04 Oct 2026 to 09 Oct 2026. Specific times for presenters will be updated when they are recommended to be present.</t>
  </si>
  <si>
    <t>Current App.jsx display text.</t>
  </si>
  <si>
    <t>Poster_Availability_Source</t>
  </si>
  <si>
    <t>Posters: All posters can be displayed throughout the conference. 04 Oct 2026 to 09 Oct 2026. Specific times for presenters will be updatd, when they are recommended to be present</t>
  </si>
  <si>
    <t>Exact wording from source Schedule rows 24, 36 and 55.</t>
  </si>
  <si>
    <t>Poster_Max_Size</t>
  </si>
  <si>
    <t>A0</t>
  </si>
  <si>
    <t>Current App.jsx poster note.</t>
  </si>
  <si>
    <t>Poster_Printing</t>
  </si>
  <si>
    <t>Can be printed at the convention centre.</t>
  </si>
  <si>
    <t>Poster_Recommended_Format</t>
  </si>
  <si>
    <t>PDF with A0 size layout.</t>
  </si>
  <si>
    <t>COMPLEXION_Event_URL</t>
  </si>
  <si>
    <t>Used for COMPLEXion event links.</t>
  </si>
  <si>
    <t>Edit_Sessions_In</t>
  </si>
  <si>
    <t>Sessions</t>
  </si>
  <si>
    <t>Edit session name/type/chair here.</t>
  </si>
  <si>
    <t>Edit_Presentations_In</t>
  </si>
  <si>
    <t>Presentations</t>
  </si>
  <si>
    <t>Edit oral/poster/award details here.</t>
  </si>
  <si>
    <t>Edit_Events_In</t>
  </si>
  <si>
    <t>Events</t>
  </si>
  <si>
    <t>Edit breaks/workshops/meetings/special events here.</t>
  </si>
  <si>
    <t>Edit_Placement_In</t>
  </si>
  <si>
    <t>Schedule</t>
  </si>
  <si>
    <t>Edit date/time/room/visibility placement here; Related_ID points to Session_ID or Event_ID.</t>
  </si>
  <si>
    <t>Correction_ID</t>
  </si>
  <si>
    <t>Area</t>
  </si>
  <si>
    <t>Date_or_Period</t>
  </si>
  <si>
    <t>Source_or_Current_Condition</t>
  </si>
  <si>
    <t>Final_Normalized</t>
  </si>
  <si>
    <t>Reason</t>
  </si>
  <si>
    <t>Preserved_Where</t>
  </si>
  <si>
    <t>C001</t>
  </si>
  <si>
    <t>Meeting room 2 / Meeting room 3</t>
  </si>
  <si>
    <t>Source Schedule row 5 contains two workshop titles in these rooms.</t>
  </si>
  <si>
    <t>Keep both source workshop titles in workbook but mark them Active_Web=No.</t>
  </si>
  <si>
    <t>Current App.jsx blanks Meeting rooms 2 and 3 for 09:30-12:30.</t>
  </si>
  <si>
    <t>Original Schedule row 5 + 04_Events source-only records.</t>
  </si>
  <si>
    <t>C002</t>
  </si>
  <si>
    <t>Source Schedule row 22 contains Women's event, 18:30-20:00.</t>
  </si>
  <si>
    <t>Preserve as source-only inactive event.</t>
  </si>
  <si>
    <t>Current App.jsx removes the old standalone Women's Event.</t>
  </si>
  <si>
    <t>Original Schedule row 22 + 04_Events.</t>
  </si>
  <si>
    <t>C003</t>
  </si>
  <si>
    <t>Source Schedule row 20 contains '17:30 - 18:30 : Exco &amp; SSC meeting' inside the 16:00-18:00 block.</t>
  </si>
  <si>
    <t>Preserve source item but mark Active_Web=No.</t>
  </si>
  <si>
    <t>Current App.jsx forces Conference Room 1 blank on 5 October 16:00-18:00.</t>
  </si>
  <si>
    <t>Original Schedule row 20 + 04_Events.</t>
  </si>
  <si>
    <t>C004</t>
  </si>
  <si>
    <t>Source Schedule row 34 combines COMPLEXion 15:45-16:45 and Toxic Trail 16:45-18:30 in one cell.</t>
  </si>
  <si>
    <t>Split into an Event (15:45-16:45) and Session (16:45-18:15). Preserve original cell text.</t>
  </si>
  <si>
    <t>Current web UI uses a stacked cell; six Toxic Trail presentations end at 18:15.</t>
  </si>
  <si>
    <t>01_Schedule, 02_Sessions, 04_Events, original Schedule row 34.</t>
  </si>
  <si>
    <t>C005</t>
  </si>
  <si>
    <t>Coffee Break row 51 also contains 'Presentation for ICMGP 2030 host' in Conference Room 1.</t>
  </si>
  <si>
    <t>Represent as a coffee-break event for the first three rooms plus a separate host-presentation event.</t>
  </si>
  <si>
    <t>Current App.jsx renders this row as a partial merge.</t>
  </si>
  <si>
    <t>01_Schedule + 04_Events.</t>
  </si>
  <si>
    <t>C006</t>
  </si>
  <si>
    <t>Source row 53 stores 'Exco and SSC conference wrap' without a time.</t>
  </si>
  <si>
    <t>Normalize to 17:30-18:30 in Conference Room 1.</t>
  </si>
  <si>
    <t>Current App.jsx explicitly assigns this time and converts it to a normal timetable row.</t>
  </si>
  <si>
    <t>01_Schedule + 04_Events + original Schedule row 53.</t>
  </si>
  <si>
    <t>C007</t>
  </si>
  <si>
    <t>Source has Auditorium, Meeting room 1 and Meeting room 2 headers.</t>
  </si>
  <si>
    <t>Only Auditorium is active for participant-facing schedule; no source values are deleted.</t>
  </si>
  <si>
    <t>Current App.jsx slices Friday to the first room column.</t>
  </si>
  <si>
    <t>Original Schedule + 01_Schedule.</t>
  </si>
  <si>
    <t>C008</t>
  </si>
  <si>
    <t>Session count</t>
  </si>
  <si>
    <t>Source row 18 says Mercury monitoring for effectiveness evaluation (7). App code contains a stale expected-count override of 8.</t>
  </si>
  <si>
    <t>Normalize count to 7, matching the source schedule and seven linked presentations in that block.</t>
  </si>
  <si>
    <t>Prevents stale code-only count from becoming the new source of truth.</t>
  </si>
  <si>
    <t>02_Sessions session S005 + 06_Corrections_Audit.</t>
  </si>
  <si>
    <t>C009</t>
  </si>
  <si>
    <t>Source row 20 says Mercury monitoring for effectiveness evaluation (2). App code temporarily changes count to 1 then manually adds Abstract 41.</t>
  </si>
  <si>
    <t>Normalize session count to 2 and preserve the manual Abstract 41 display override separately.</t>
  </si>
  <si>
    <t>Matches actual participant-facing linked records while retaining source details.</t>
  </si>
  <si>
    <t>02_Sessions session S008 + 03_Presentations.</t>
  </si>
  <si>
    <t>C010</t>
  </si>
  <si>
    <t>Source row 52 says Human Health (2), while the current app displays three Human Health presentations.</t>
  </si>
  <si>
    <t>Normalize Human Health count to 3; preserve source cell text and source count=2.</t>
  </si>
  <si>
    <t>Current App.jsx explicitly corrects this occurrence to 3.</t>
  </si>
  <si>
    <t>02_Sessions session S032.</t>
  </si>
  <si>
    <t>C011</t>
  </si>
  <si>
    <t>Session boundary</t>
  </si>
  <si>
    <t>Selenium session block is 16:00-18:00; the eighth talk starts exactly at 18:00.</t>
  </si>
  <si>
    <t>Include the 18:00-18:15 presentation in this session.</t>
  </si>
  <si>
    <t>Current App.jsx has a specific boundary exception for this session.</t>
  </si>
  <si>
    <t>02_Sessions + 03_Presentations.</t>
  </si>
  <si>
    <t>C012</t>
  </si>
  <si>
    <t>Session content</t>
  </si>
  <si>
    <t>Dated ASGM 06Oct sheet contains seven oral records; schedule calls for eight.</t>
  </si>
  <si>
    <t>Add Abstract 34 as the eighth 6-Oct ASGM presentation, retaining its source/reference records.</t>
  </si>
  <si>
    <t>Current App.jsx manually adds Abstract 34 from combined ASGM reference information.</t>
  </si>
  <si>
    <t>02_Sessions + 03_Presentations; original ASGM sheets retained.</t>
  </si>
  <si>
    <t>C013</t>
  </si>
  <si>
    <t>Women in Science</t>
  </si>
  <si>
    <t>Schedule says Award talks under Women in Science (2). App creates two awards plus a Women in Science Event 18:45-20:15.</t>
  </si>
  <si>
    <t>Keep two awards as presentations and store the 18:45-20:15 item in Events.</t>
  </si>
  <si>
    <t>Separates presentation records from an event while preserving all current text.</t>
  </si>
  <si>
    <t>03_Presentations + 04_Events.</t>
  </si>
  <si>
    <t>C014</t>
  </si>
  <si>
    <t>Posters</t>
  </si>
  <si>
    <t>Current App.jsx contains 12 confirmedPosters records because some poster records are missed or absent in workbook parsing.</t>
  </si>
  <si>
    <t>Preserve all source poster rows and add the confirmed participant-facing poster records explicitly.</t>
  </si>
  <si>
    <t>Ensures current poster tab content is not lost.</t>
  </si>
  <si>
    <t>03_Presentations; originals retained.</t>
  </si>
  <si>
    <t>C015</t>
  </si>
  <si>
    <t>Parser</t>
  </si>
  <si>
    <t>Current parser can mistake a presentation row containing the literal value 'Poster' for a Poster section marker and also misses same-row Poster+header layouts.</t>
  </si>
  <si>
    <t>Normalized workbook uses explicit Presentation_Type per row, so no marker inference is needed.</t>
  </si>
  <si>
    <t>Removes parser ambiguity without changing web layout.</t>
  </si>
  <si>
    <t>03_Presentations.</t>
  </si>
  <si>
    <t>C016</t>
  </si>
  <si>
    <t>Session metadata</t>
  </si>
  <si>
    <t>2026-10-05 to 2026-10-08</t>
  </si>
  <si>
    <t>Multiple</t>
  </si>
  <si>
    <t>App.jsx contains occurrence-specific hardcodes for Special Session labels/chairs (Science Policy Interface, Biodiversity, Geologic Processes, Toxic Trail).</t>
  </si>
  <si>
    <t>Store Session_Type and Chair(s) explicitly in 02_Sessions.</t>
  </si>
  <si>
    <t>Makes metadata editable in Excel rather than JavaScript.</t>
  </si>
  <si>
    <t>02_Sessions.</t>
  </si>
  <si>
    <t>C017</t>
  </si>
  <si>
    <t>Time data</t>
  </si>
  <si>
    <t>ASGM 06Oct source contains time '1111:05-11:20'.</t>
  </si>
  <si>
    <t>Preserve the exact source time. Current app interprets it as 11:05-11:20 only for matching/sorting.</t>
  </si>
  <si>
    <t>No silent source correction.</t>
  </si>
  <si>
    <t>03_Presentations source fields + original ASGM_06Oct.</t>
  </si>
  <si>
    <t>C018</t>
  </si>
  <si>
    <t>Poster note</t>
  </si>
  <si>
    <t>Source Schedule note contains 'updatd, when'; current UI text says 'updated when'.</t>
  </si>
  <si>
    <t>Preserve both source wording and current display wording in Config.</t>
  </si>
  <si>
    <t>Avoids silently overwriting source text.</t>
  </si>
  <si>
    <t>05_Config + original Schedule rows 24/36/55.</t>
  </si>
  <si>
    <t>C019</t>
  </si>
  <si>
    <t>Abstract 41</t>
  </si>
  <si>
    <t>Source Effectiveness Evaluation row 23 has 16:15-16:45 and a truncated title; App.jsx creates a manual record with 15:45-16:00 and the full title.</t>
  </si>
  <si>
    <t>Keep source record inactive/superseded and preserve the active App.jsx override as a separate normalized presentation.</t>
  </si>
  <si>
    <t>Preserves both versions exactly and makes the override auditable.</t>
  </si>
  <si>
    <t>C020</t>
  </si>
  <si>
    <t>Abstract 218</t>
  </si>
  <si>
    <t>App.jsx contains a manual restore path for Abstract 218, but the supplied Freshwater &amp; Oceans sheet already contains Abstract 218 at 10:50-11:05.</t>
  </si>
  <si>
    <t>Use the workbook source record; retain the hardcode note only in audit.</t>
  </si>
  <si>
    <t>The current workbook no longer requires a duplicate manual presentation.</t>
  </si>
  <si>
    <t>03_Presentations + original Freshwater &amp; Oceans.</t>
  </si>
  <si>
    <t>C021</t>
  </si>
  <si>
    <t>ASGM occurrence</t>
  </si>
  <si>
    <t>2026-10-05 / 2026-10-06</t>
  </si>
  <si>
    <t>Auditorium / Meeting room 1</t>
  </si>
  <si>
    <t>ASGM_05Oct contains four talks while the 5-Oct schedule requests three; 6-Oct schedule requests eight while ASGM_06Oct contains seven.</t>
  </si>
  <si>
    <t>Display first three on 5 Oct and use Abstract 34 as the additional 6-Oct item, preserving all source rows.</t>
  </si>
  <si>
    <t>Matches current app selection logic and both timetable counts.</t>
  </si>
  <si>
    <t>C022</t>
  </si>
  <si>
    <t>Display naming</t>
  </si>
  <si>
    <t>Auditorium / Meeting room 2</t>
  </si>
  <si>
    <t>Schedule uses shortened names such as 'Environmental' and 'Mercury and biodiversity'.</t>
  </si>
  <si>
    <t>Use full matched session names in Sessions while preserving source cell text.</t>
  </si>
  <si>
    <t>Eliminates fuzzy matching from future parser.</t>
  </si>
  <si>
    <t>01_Schedule + 02_Sessions.</t>
  </si>
  <si>
    <t>C023</t>
  </si>
  <si>
    <t>Toxic Trail time</t>
  </si>
  <si>
    <t>Source schedule cell says Toxic Trail 16:45-18:30; current UI and talk times end at 18:15.</t>
  </si>
  <si>
    <t>Normalized participant-facing block is 16:45-18:15; source text remains unchanged.</t>
  </si>
  <si>
    <t>Matches the six actual talk times and current web UI.</t>
  </si>
  <si>
    <t>02_Sessions + original Schedule.</t>
  </si>
  <si>
    <t>C024</t>
  </si>
  <si>
    <t>Programme label</t>
  </si>
  <si>
    <t>Source category contains 'Session 3 (8 talks) + Any discussions'.</t>
  </si>
  <si>
    <t>Session rows use explicit titles and retain the full source category for audit; the generic 'Any discussions' label is not separately displayed.</t>
  </si>
  <si>
    <t>Matches current App.jsx display-level label suppression.</t>
  </si>
  <si>
    <t>01_Schedule Source_Category.</t>
  </si>
  <si>
    <t>Normalization QA / Consistency Checks</t>
  </si>
  <si>
    <t>Metric</t>
  </si>
  <si>
    <t>Live Formula Check</t>
  </si>
  <si>
    <t>Original workbook sheets</t>
  </si>
  <si>
    <t>Active presentations</t>
  </si>
  <si>
    <t>Original session/topic sheets</t>
  </si>
  <si>
    <t>Active oral presentations</t>
  </si>
  <si>
    <t>Source presentation rows recognized</t>
  </si>
  <si>
    <t>Active posters</t>
  </si>
  <si>
    <t>Source oral rows recognized</t>
  </si>
  <si>
    <t>Active awards</t>
  </si>
  <si>
    <t>Source poster rows recognized</t>
  </si>
  <si>
    <t>Active sessions</t>
  </si>
  <si>
    <t>Normalized presentation rows</t>
  </si>
  <si>
    <t>Active events</t>
  </si>
  <si>
    <t>Active schedule rows</t>
  </si>
  <si>
    <t>Active poster presentations</t>
  </si>
  <si>
    <t>Active award presentations</t>
  </si>
  <si>
    <t>Inactive/reference presentation rows</t>
  </si>
  <si>
    <t>Active session occurrences</t>
  </si>
  <si>
    <t>Total normalized events</t>
  </si>
  <si>
    <t>Inactive/source-only events</t>
  </si>
  <si>
    <t>Daily timetable active schedule rows</t>
  </si>
  <si>
    <t>Session presentation link mismatches</t>
  </si>
  <si>
    <t>Active oral/award without Session_ID</t>
  </si>
  <si>
    <t>Important audited discrepancies retained explicitly</t>
  </si>
  <si>
    <t>5 Oct 14:00-15:45 Effectiveness Evaluation</t>
  </si>
  <si>
    <t>Source schedule/count and linked talks = 7; App.jsx contains stale expected-count override = 8.</t>
  </si>
  <si>
    <t>Normalized count = 7; source and code count both retained in 02_Sessions.</t>
  </si>
  <si>
    <t>5 Oct 16:00-18:00 Effectiveness Evaluation</t>
  </si>
  <si>
    <t>Source schedule = 2; code expected count becomes 1 but manual Abstract 41 creates 2 displayed records.</t>
  </si>
  <si>
    <t>Normalized count = 2; Abstract 41 source and override both preserved.</t>
  </si>
  <si>
    <t>8 Oct 16:00-18:00 Human Health</t>
  </si>
  <si>
    <t>Source schedule says 2; current app displays 3.</t>
  </si>
  <si>
    <t>Normalized active count = 3; source count remains in audit columns.</t>
  </si>
  <si>
    <t>6 Oct Toxic Trail</t>
  </si>
  <si>
    <t>Source schedule ends 18:30; six actual talks and current UI end 18:15.</t>
  </si>
  <si>
    <t>Normalized block = 16:45-18:15; original text preserved.</t>
  </si>
  <si>
    <t>ASGM malformed time</t>
  </si>
  <si>
    <t>Source contains 1111:05-11:20.</t>
  </si>
  <si>
    <t>Exact source retained; no silent edit.</t>
  </si>
  <si>
    <t>Schedule count = 2 award talks; App.jsx also embeds 18:45-20:15 Women in Science Event as a third award-like record.</t>
  </si>
  <si>
    <t>Two awards remain presentations; event moved to 04_Events.</t>
  </si>
  <si>
    <t>S038</t>
  </si>
  <si>
    <t>Vikas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</si>
</sst>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name val="Carlito"/>
    </font>
    <font>
      <b/>
      <sz val="11"/>
      <color rgb="FFFFFFFF"/>
      <name val="Carlito"/>
    </font>
    <font>
      <b/>
      <sz val="14"/>
      <color rgb="FFFFFFFF"/>
      <name val="Carlito"/>
    </font>
    <font>
      <b/>
      <sz val="11"/>
      <color rgb="FF174F91"/>
      <name val="Carlito"/>
    </font>
  </fonts>
  <fills count="4">
    <fill>
      <patternFill patternType="none"/>
    </fill>
    <fill>
      <patternFill patternType="gray125"/>
    </fill>
    <fill>
      <patternFill patternType="solid">
        <fgColor rgb="FF174F91"/>
      </patternFill>
    </fill>
    <fill>
      <patternFill patternType="solid">
        <fgColor rgb="FFEAF2FA"/>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164" fontId="0" fillId="0" borderId="0" xfId="0" applyNumberFormat="1" applyAlignment="1">
      <alignment vertical="top" wrapText="1"/>
    </xf>
    <xf numFmtId="0" fontId="2" fillId="2" borderId="0" xfId="0" applyFont="1" applyFill="1" applyAlignment="1">
      <alignment horizontal="left" vertical="center" wrapText="1"/>
    </xf>
    <xf numFmtId="0" fontId="3" fillId="3" borderId="0" xfId="0" applyFont="1" applyFill="1" applyAlignment="1">
      <alignment vertical="center" wrapText="1"/>
    </xf>
    <xf numFmtId="1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heduleTable" displayName="ScheduleTable" ref="A1:P78" totalsRowShown="0">
  <tableColumns count="16">
    <tableColumn id="1" xr3:uid="{00000000-0010-0000-0000-000001000000}" name="Schedule_ID"/>
    <tableColumn id="2" xr3:uid="{00000000-0010-0000-0000-000002000000}" name="Date"/>
    <tableColumn id="3" xr3:uid="{00000000-0010-0000-0000-000003000000}" name="Day"/>
    <tableColumn id="4" xr3:uid="{00000000-0010-0000-0000-000004000000}" name="Time_Range"/>
    <tableColumn id="5" xr3:uid="{00000000-0010-0000-0000-000005000000}" name="Start_Time"/>
    <tableColumn id="6" xr3:uid="{00000000-0010-0000-0000-000006000000}" name="End_Time"/>
    <tableColumn id="7" xr3:uid="{00000000-0010-0000-0000-000007000000}" name="Room"/>
    <tableColumn id="8" xr3:uid="{00000000-0010-0000-0000-000008000000}" name="Item_Type"/>
    <tableColumn id="9" xr3:uid="{00000000-0010-0000-0000-000009000000}" name="Related_ID"/>
    <tableColumn id="10" xr3:uid="{00000000-0010-0000-0000-00000A000000}" name="Display_Title"/>
    <tableColumn id="11" xr3:uid="{00000000-0010-0000-0000-00000B000000}" name="Active_Web"/>
    <tableColumn id="12" xr3:uid="{00000000-0010-0000-0000-00000C000000}" name="Display_Surface"/>
    <tableColumn id="13" xr3:uid="{00000000-0010-0000-0000-00000D000000}" name="Source_Schedule_Row"/>
    <tableColumn id="14" xr3:uid="{00000000-0010-0000-0000-00000E000000}" name="Source_Category"/>
    <tableColumn id="15" xr3:uid="{00000000-0010-0000-0000-00000F000000}" name="Source_Cell_Text"/>
    <tableColumn id="16" xr3:uid="{00000000-0010-0000-0000-000010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ssionsTable" displayName="SessionsTable" ref="A1:V38" totalsRowShown="0">
  <tableColumns count="22">
    <tableColumn id="1" xr3:uid="{00000000-0010-0000-0100-000001000000}" name="Session_ID"/>
    <tableColumn id="2" xr3:uid="{00000000-0010-0000-0100-000002000000}" name="Date"/>
    <tableColumn id="3" xr3:uid="{00000000-0010-0000-0100-000003000000}" name="Block_Time"/>
    <tableColumn id="4" xr3:uid="{00000000-0010-0000-0100-000004000000}" name="Start_Time"/>
    <tableColumn id="5" xr3:uid="{00000000-0010-0000-0100-000005000000}" name="End_Time"/>
    <tableColumn id="6" xr3:uid="{00000000-0010-0000-0100-000006000000}" name="Room"/>
    <tableColumn id="7" xr3:uid="{00000000-0010-0000-0100-000007000000}" name="Display_Name"/>
    <tableColumn id="8" xr3:uid="{00000000-0010-0000-0100-000008000000}" name="Reference_Name"/>
    <tableColumn id="9" xr3:uid="{00000000-0010-0000-0100-000009000000}" name="Session_Type"/>
    <tableColumn id="10" xr3:uid="{00000000-0010-0000-0100-00000A000000}" name="Chair_s"/>
    <tableColumn id="11" xr3:uid="{00000000-0010-0000-0100-00000B000000}" name="Presentation_Count"/>
    <tableColumn id="12" xr3:uid="{00000000-0010-0000-0100-00000C000000}" name="Source_Schedule_Count"/>
    <tableColumn id="13" xr3:uid="{00000000-0010-0000-0100-00000D000000}" name="App_Code_Expected_Count"/>
    <tableColumn id="14" xr3:uid="{00000000-0010-0000-0100-00000E000000}" name="Source_Sheet"/>
    <tableColumn id="15" xr3:uid="{00000000-0010-0000-0100-00000F000000}" name="Source_Session_Name"/>
    <tableColumn id="16" xr3:uid="{00000000-0010-0000-0100-000010000000}" name="Source_Session_Type"/>
    <tableColumn id="17" xr3:uid="{00000000-0010-0000-0100-000011000000}" name="Source_Chair_s"/>
    <tableColumn id="18" xr3:uid="{00000000-0010-0000-0100-000012000000}" name="Source_Schedule_Row"/>
    <tableColumn id="19" xr3:uid="{00000000-0010-0000-0100-000013000000}" name="Source_Cell_Text"/>
    <tableColumn id="20" xr3:uid="{00000000-0010-0000-0100-000014000000}" name="Active_Web"/>
    <tableColumn id="21" xr3:uid="{00000000-0010-0000-0100-000015000000}" name="Display_Surface"/>
    <tableColumn id="22" xr3:uid="{00000000-0010-0000-0100-000016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esentationsTable" displayName="PresentationsTable" ref="A1:Y293" totalsRowShown="0">
  <autoFilter ref="A1:Y293" xr:uid="{00000000-000C-0000-FFFF-FFFF02000000}">
    <filterColumn colId="16">
      <filters>
        <filter val="Toxic Trail of Beauty"/>
      </filters>
    </filterColumn>
  </autoFilter>
  <tableColumns count="25">
    <tableColumn id="1" xr3:uid="{00000000-0010-0000-0200-000001000000}" name="Presentation_ID"/>
    <tableColumn id="2" xr3:uid="{00000000-0010-0000-0200-000002000000}" name="Session_ID"/>
    <tableColumn id="3" xr3:uid="{00000000-0010-0000-0200-000003000000}" name="Presentation_Type"/>
    <tableColumn id="4" xr3:uid="{00000000-0010-0000-0200-000004000000}" name="Active_Web"/>
    <tableColumn id="5" xr3:uid="{00000000-0010-0000-0200-000005000000}" name="Status"/>
    <tableColumn id="6" xr3:uid="{00000000-0010-0000-0200-000006000000}" name="Display_Date"/>
    <tableColumn id="7" xr3:uid="{00000000-0010-0000-0200-000007000000}" name="Display_Time"/>
    <tableColumn id="8" xr3:uid="{00000000-0010-0000-0200-000008000000}" name="Abstract_ID"/>
    <tableColumn id="9" xr3:uid="{00000000-0010-0000-0200-000009000000}" name="Title"/>
    <tableColumn id="10" xr3:uid="{00000000-0010-0000-0200-00000A000000}" name="Lead_Author"/>
    <tableColumn id="11" xr3:uid="{00000000-0010-0000-0200-00000B000000}" name="Co_Authors"/>
    <tableColumn id="12" xr3:uid="{00000000-0010-0000-0200-00000C000000}" name="Abstract_Category"/>
    <tableColumn id="13" xr3:uid="{00000000-0010-0000-0200-00000D000000}" name="Review_Status"/>
    <tableColumn id="14" xr3:uid="{00000000-0010-0000-0200-00000E000000}" name="Source_Sheet"/>
    <tableColumn id="15" xr3:uid="{00000000-0010-0000-0200-00000F000000}" name="Source_Row"/>
    <tableColumn id="16" xr3:uid="{00000000-0010-0000-0200-000010000000}" name="Source_Date_s"/>
    <tableColumn id="17" xr3:uid="{00000000-0010-0000-0200-000011000000}" name="Source_Session_Name"/>
    <tableColumn id="18" xr3:uid="{00000000-0010-0000-0200-000012000000}" name="Source_Session_Type"/>
    <tableColumn id="19" xr3:uid="{00000000-0010-0000-0200-000013000000}" name="Source_Chair_s"/>
    <tableColumn id="20" xr3:uid="{00000000-0010-0000-0200-000014000000}" name="Source_Location"/>
    <tableColumn id="21" xr3:uid="{00000000-0010-0000-0200-000015000000}" name="Source_Time"/>
    <tableColumn id="22" xr3:uid="{00000000-0010-0000-0200-000016000000}" name="Source_Title"/>
    <tableColumn id="23" xr3:uid="{00000000-0010-0000-0200-000017000000}" name="Source_Lead_Author"/>
    <tableColumn id="24" xr3:uid="{00000000-0010-0000-0200-000018000000}" name="Source_Co_Authors"/>
    <tableColumn id="25" xr3:uid="{00000000-0010-0000-0200-000019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ventsTable" displayName="EventsTable" ref="A1:O41" totalsRowShown="0">
  <tableColumns count="15">
    <tableColumn id="1" xr3:uid="{00000000-0010-0000-0300-000001000000}" name="Event_ID"/>
    <tableColumn id="2" xr3:uid="{00000000-0010-0000-0300-000002000000}" name="Date"/>
    <tableColumn id="3" xr3:uid="{00000000-0010-0000-0300-000003000000}" name="Time_Range"/>
    <tableColumn id="4" xr3:uid="{00000000-0010-0000-0300-000004000000}" name="Start_Time"/>
    <tableColumn id="5" xr3:uid="{00000000-0010-0000-0300-000005000000}" name="End_Time"/>
    <tableColumn id="6" xr3:uid="{00000000-0010-0000-0300-000006000000}" name="Room"/>
    <tableColumn id="7" xr3:uid="{00000000-0010-0000-0300-000007000000}" name="Title"/>
    <tableColumn id="8" xr3:uid="{00000000-0010-0000-0300-000008000000}" name="Event_Type"/>
    <tableColumn id="9" xr3:uid="{00000000-0010-0000-0300-000009000000}" name="Category"/>
    <tableColumn id="10" xr3:uid="{00000000-0010-0000-0300-00000A000000}" name="URL"/>
    <tableColumn id="11" xr3:uid="{00000000-0010-0000-0300-00000B000000}" name="Active_Web"/>
    <tableColumn id="12" xr3:uid="{00000000-0010-0000-0300-00000C000000}" name="Display_Surface"/>
    <tableColumn id="13" xr3:uid="{00000000-0010-0000-0300-00000D000000}" name="Source_Schedule_Row"/>
    <tableColumn id="14" xr3:uid="{00000000-0010-0000-0300-00000E000000}" name="Source_Cell_Text"/>
    <tableColumn id="15" xr3:uid="{00000000-0010-0000-0300-00000F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nfigTable" displayName="ConfigTable" ref="A1:C14" totalsRowShown="0">
  <tableColumns count="3">
    <tableColumn id="1" xr3:uid="{00000000-0010-0000-0400-000001000000}" name="Key"/>
    <tableColumn id="2" xr3:uid="{00000000-0010-0000-0400-000002000000}" name="Value"/>
    <tableColumn id="3" xr3:uid="{00000000-0010-0000-0400-000003000000}" name="Source_or_No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rrectionsAuditTable" displayName="CorrectionsAuditTable" ref="A1:H25" totalsRowShown="0">
  <tableColumns count="8">
    <tableColumn id="1" xr3:uid="{00000000-0010-0000-0500-000001000000}" name="Correction_ID"/>
    <tableColumn id="2" xr3:uid="{00000000-0010-0000-0500-000002000000}" name="Area"/>
    <tableColumn id="3" xr3:uid="{00000000-0010-0000-0500-000003000000}" name="Date_or_Period"/>
    <tableColumn id="4" xr3:uid="{00000000-0010-0000-0500-000004000000}" name="Room"/>
    <tableColumn id="5" xr3:uid="{00000000-0010-0000-0500-000005000000}" name="Source_or_Current_Condition"/>
    <tableColumn id="6" xr3:uid="{00000000-0010-0000-0500-000006000000}" name="Final_Normalized"/>
    <tableColumn id="7" xr3:uid="{00000000-0010-0000-0500-000007000000}" name="Reason"/>
    <tableColumn id="8" xr3:uid="{00000000-0010-0000-0500-000008000000}" name="Preserved_Wher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8"/>
  <sheetViews>
    <sheetView workbookViewId="0">
      <selection activeCell="D4" sqref="D4"/>
    </sheetView>
  </sheetViews>
  <sheetFormatPr defaultRowHeight="14.25"/>
  <cols>
    <col min="1" max="2" width="12" customWidth="1"/>
    <col min="3" max="3" width="10" customWidth="1"/>
    <col min="4" max="4" width="18" customWidth="1"/>
    <col min="5" max="6" width="10" customWidth="1"/>
    <col min="7" max="7" width="24" customWidth="1"/>
    <col min="8" max="9" width="12" customWidth="1"/>
    <col min="10" max="10" width="42" customWidth="1"/>
    <col min="11" max="11" width="11" customWidth="1"/>
    <col min="12" max="12" width="20" customWidth="1"/>
    <col min="13" max="13" width="14" customWidth="1"/>
    <col min="14" max="14" width="30" customWidth="1"/>
    <col min="15" max="16" width="42" customWidth="1"/>
    <col min="17" max="17" width="18" customWidth="1"/>
    <col min="18" max="18" width="32" customWidth="1"/>
  </cols>
  <sheetData>
    <row r="1" spans="1:18" ht="3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28.5">
      <c r="A2" s="1" t="s">
        <v>18</v>
      </c>
      <c r="B2" s="3">
        <v>46299</v>
      </c>
      <c r="C2" s="1" t="s">
        <v>19</v>
      </c>
      <c r="D2" s="1" t="s">
        <v>20</v>
      </c>
      <c r="E2" s="1" t="s">
        <v>21</v>
      </c>
      <c r="F2" s="1" t="s">
        <v>22</v>
      </c>
      <c r="G2" s="1" t="s">
        <v>23</v>
      </c>
      <c r="H2" s="1" t="s">
        <v>24</v>
      </c>
      <c r="I2" s="1" t="s">
        <v>25</v>
      </c>
      <c r="J2" s="1" t="s">
        <v>26</v>
      </c>
      <c r="K2" s="1" t="s">
        <v>27</v>
      </c>
      <c r="L2" s="1" t="s">
        <v>28</v>
      </c>
      <c r="M2" s="1">
        <v>5</v>
      </c>
      <c r="N2" s="1" t="s">
        <v>29</v>
      </c>
      <c r="O2" s="1" t="s">
        <v>26</v>
      </c>
      <c r="P2" s="1"/>
      <c r="Q2" t="s">
        <v>30</v>
      </c>
    </row>
    <row r="3" spans="1:18" ht="42.75">
      <c r="A3" s="1" t="s">
        <v>31</v>
      </c>
      <c r="B3" s="3">
        <v>46299</v>
      </c>
      <c r="C3" s="1" t="s">
        <v>19</v>
      </c>
      <c r="D3" s="1" t="s">
        <v>32</v>
      </c>
      <c r="E3" s="1" t="s">
        <v>21</v>
      </c>
      <c r="F3" s="1" t="s">
        <v>22</v>
      </c>
      <c r="G3" s="1" t="s">
        <v>33</v>
      </c>
      <c r="H3" s="1" t="s">
        <v>24</v>
      </c>
      <c r="I3" s="1" t="s">
        <v>34</v>
      </c>
      <c r="J3" s="1" t="s">
        <v>35</v>
      </c>
      <c r="K3" s="1" t="s">
        <v>36</v>
      </c>
      <c r="L3" s="1" t="s">
        <v>37</v>
      </c>
      <c r="M3" s="1">
        <v>5</v>
      </c>
      <c r="N3" s="1" t="s">
        <v>29</v>
      </c>
      <c r="O3" s="1" t="s">
        <v>35</v>
      </c>
      <c r="P3" s="1" t="s">
        <v>38</v>
      </c>
      <c r="Q3" t="s">
        <v>39</v>
      </c>
    </row>
    <row r="4" spans="1:18" ht="28.5">
      <c r="A4" s="1" t="s">
        <v>40</v>
      </c>
      <c r="B4" s="3">
        <v>46299</v>
      </c>
      <c r="C4" s="1" t="s">
        <v>19</v>
      </c>
      <c r="D4" s="1" t="s">
        <v>32</v>
      </c>
      <c r="E4" s="1" t="s">
        <v>21</v>
      </c>
      <c r="F4" s="1" t="s">
        <v>22</v>
      </c>
      <c r="G4" s="1" t="s">
        <v>41</v>
      </c>
      <c r="H4" s="1" t="s">
        <v>24</v>
      </c>
      <c r="I4" s="1" t="s">
        <v>42</v>
      </c>
      <c r="J4" s="1" t="s">
        <v>43</v>
      </c>
      <c r="K4" s="1" t="s">
        <v>36</v>
      </c>
      <c r="L4" s="1" t="s">
        <v>37</v>
      </c>
      <c r="M4" s="1">
        <v>5</v>
      </c>
      <c r="N4" s="1" t="s">
        <v>29</v>
      </c>
      <c r="O4" s="1" t="s">
        <v>43</v>
      </c>
      <c r="P4" s="1" t="s">
        <v>44</v>
      </c>
      <c r="Q4" t="s">
        <v>39</v>
      </c>
    </row>
    <row r="5" spans="1:18">
      <c r="A5" s="1" t="s">
        <v>45</v>
      </c>
      <c r="B5" s="3">
        <v>46299</v>
      </c>
      <c r="C5" s="1" t="s">
        <v>19</v>
      </c>
      <c r="D5" s="1" t="s">
        <v>46</v>
      </c>
      <c r="E5" s="1" t="s">
        <v>47</v>
      </c>
      <c r="F5" s="1" t="s">
        <v>48</v>
      </c>
      <c r="G5" s="1" t="s">
        <v>49</v>
      </c>
      <c r="H5" s="1" t="s">
        <v>24</v>
      </c>
      <c r="I5" s="1" t="s">
        <v>50</v>
      </c>
      <c r="J5" s="1" t="s">
        <v>51</v>
      </c>
      <c r="K5" s="1" t="s">
        <v>27</v>
      </c>
      <c r="L5" s="1" t="s">
        <v>28</v>
      </c>
      <c r="M5" s="1">
        <v>7</v>
      </c>
      <c r="N5" s="1" t="s">
        <v>52</v>
      </c>
      <c r="O5" s="1" t="s">
        <v>51</v>
      </c>
      <c r="P5" s="1"/>
      <c r="Q5" t="s">
        <v>30</v>
      </c>
    </row>
    <row r="6" spans="1:18" ht="42.75">
      <c r="A6" s="1" t="s">
        <v>53</v>
      </c>
      <c r="B6" s="3">
        <v>46299</v>
      </c>
      <c r="C6" s="1" t="s">
        <v>19</v>
      </c>
      <c r="D6" s="1" t="s">
        <v>54</v>
      </c>
      <c r="E6" s="1" t="s">
        <v>47</v>
      </c>
      <c r="F6" s="1" t="s">
        <v>55</v>
      </c>
      <c r="G6" s="1" t="s">
        <v>23</v>
      </c>
      <c r="H6" s="1" t="s">
        <v>24</v>
      </c>
      <c r="I6" s="1" t="s">
        <v>56</v>
      </c>
      <c r="J6" s="1" t="s">
        <v>57</v>
      </c>
      <c r="K6" s="1" t="s">
        <v>27</v>
      </c>
      <c r="L6" s="1" t="s">
        <v>28</v>
      </c>
      <c r="M6" s="1">
        <v>6</v>
      </c>
      <c r="N6" s="1" t="s">
        <v>29</v>
      </c>
      <c r="O6" s="1" t="s">
        <v>57</v>
      </c>
      <c r="P6" s="1"/>
      <c r="Q6" t="s">
        <v>30</v>
      </c>
    </row>
    <row r="7" spans="1:18" ht="28.5">
      <c r="A7" s="1" t="s">
        <v>58</v>
      </c>
      <c r="B7" s="3">
        <v>46299</v>
      </c>
      <c r="C7" s="1" t="s">
        <v>19</v>
      </c>
      <c r="D7" s="1" t="s">
        <v>54</v>
      </c>
      <c r="E7" s="1" t="s">
        <v>47</v>
      </c>
      <c r="F7" s="1" t="s">
        <v>55</v>
      </c>
      <c r="G7" s="1" t="s">
        <v>33</v>
      </c>
      <c r="H7" s="1" t="s">
        <v>24</v>
      </c>
      <c r="I7" s="1" t="s">
        <v>59</v>
      </c>
      <c r="J7" s="1" t="s">
        <v>60</v>
      </c>
      <c r="K7" s="1" t="s">
        <v>27</v>
      </c>
      <c r="L7" s="1" t="s">
        <v>28</v>
      </c>
      <c r="M7" s="1">
        <v>6</v>
      </c>
      <c r="N7" s="1" t="s">
        <v>29</v>
      </c>
      <c r="O7" s="1" t="s">
        <v>60</v>
      </c>
      <c r="P7" s="1"/>
      <c r="Q7" t="s">
        <v>30</v>
      </c>
    </row>
    <row r="8" spans="1:18" ht="28.5">
      <c r="A8" s="1" t="s">
        <v>61</v>
      </c>
      <c r="B8" s="3">
        <v>46299</v>
      </c>
      <c r="C8" s="1" t="s">
        <v>19</v>
      </c>
      <c r="D8" s="1" t="s">
        <v>54</v>
      </c>
      <c r="E8" s="1" t="s">
        <v>47</v>
      </c>
      <c r="F8" s="1" t="s">
        <v>55</v>
      </c>
      <c r="G8" s="1" t="s">
        <v>41</v>
      </c>
      <c r="H8" s="1" t="s">
        <v>24</v>
      </c>
      <c r="I8" s="1" t="s">
        <v>62</v>
      </c>
      <c r="J8" s="1" t="s">
        <v>63</v>
      </c>
      <c r="K8" s="1" t="s">
        <v>27</v>
      </c>
      <c r="L8" s="1" t="s">
        <v>28</v>
      </c>
      <c r="M8" s="1">
        <v>6</v>
      </c>
      <c r="N8" s="1" t="s">
        <v>29</v>
      </c>
      <c r="O8" s="1" t="s">
        <v>63</v>
      </c>
      <c r="P8" s="1"/>
      <c r="Q8" t="s">
        <v>30</v>
      </c>
    </row>
    <row r="9" spans="1:18">
      <c r="A9" s="1" t="s">
        <v>64</v>
      </c>
      <c r="B9" s="3">
        <v>46299</v>
      </c>
      <c r="C9" s="1" t="s">
        <v>19</v>
      </c>
      <c r="D9" s="1" t="s">
        <v>65</v>
      </c>
      <c r="E9" s="1" t="s">
        <v>66</v>
      </c>
      <c r="F9" s="1" t="s">
        <v>67</v>
      </c>
      <c r="G9" s="1" t="s">
        <v>49</v>
      </c>
      <c r="H9" s="1" t="s">
        <v>24</v>
      </c>
      <c r="I9" s="1" t="s">
        <v>68</v>
      </c>
      <c r="J9" s="1" t="s">
        <v>69</v>
      </c>
      <c r="K9" s="1" t="s">
        <v>27</v>
      </c>
      <c r="L9" s="1" t="s">
        <v>28</v>
      </c>
      <c r="M9" s="1">
        <v>8</v>
      </c>
      <c r="N9" s="1" t="s">
        <v>70</v>
      </c>
      <c r="O9" s="1" t="s">
        <v>69</v>
      </c>
      <c r="P9" s="1"/>
      <c r="Q9" t="s">
        <v>30</v>
      </c>
    </row>
    <row r="10" spans="1:18">
      <c r="A10" s="1" t="s">
        <v>71</v>
      </c>
      <c r="B10" s="3">
        <v>46299</v>
      </c>
      <c r="C10" s="1" t="s">
        <v>19</v>
      </c>
      <c r="D10" s="1" t="s">
        <v>72</v>
      </c>
      <c r="E10" s="1" t="s">
        <v>73</v>
      </c>
      <c r="F10" s="1" t="s">
        <v>74</v>
      </c>
      <c r="G10" s="1" t="s">
        <v>75</v>
      </c>
      <c r="H10" s="1" t="s">
        <v>24</v>
      </c>
      <c r="I10" s="1" t="s">
        <v>76</v>
      </c>
      <c r="J10" s="1" t="s">
        <v>77</v>
      </c>
      <c r="K10" s="1" t="s">
        <v>27</v>
      </c>
      <c r="L10" s="1" t="s">
        <v>28</v>
      </c>
      <c r="M10" s="1">
        <v>10</v>
      </c>
      <c r="N10" s="1" t="s">
        <v>78</v>
      </c>
      <c r="O10" s="1" t="s">
        <v>77</v>
      </c>
      <c r="P10" s="1"/>
      <c r="Q10" t="s">
        <v>79</v>
      </c>
    </row>
    <row r="11" spans="1:18" ht="28.5">
      <c r="A11" s="1" t="s">
        <v>80</v>
      </c>
      <c r="B11" s="3">
        <v>46300</v>
      </c>
      <c r="C11" s="1" t="s">
        <v>81</v>
      </c>
      <c r="D11" s="1" t="s">
        <v>82</v>
      </c>
      <c r="E11" s="1" t="s">
        <v>21</v>
      </c>
      <c r="F11" s="1" t="s">
        <v>83</v>
      </c>
      <c r="G11" s="1" t="s">
        <v>49</v>
      </c>
      <c r="H11" s="1" t="s">
        <v>24</v>
      </c>
      <c r="I11" s="1" t="s">
        <v>84</v>
      </c>
      <c r="J11" s="1" t="s">
        <v>85</v>
      </c>
      <c r="K11" s="1" t="s">
        <v>27</v>
      </c>
      <c r="L11" s="1" t="s">
        <v>28</v>
      </c>
      <c r="M11" s="1">
        <v>14</v>
      </c>
      <c r="N11" s="1" t="s">
        <v>86</v>
      </c>
      <c r="O11" s="1" t="s">
        <v>85</v>
      </c>
      <c r="P11" s="1"/>
      <c r="Q11" t="s">
        <v>30</v>
      </c>
    </row>
    <row r="12" spans="1:18">
      <c r="A12" s="1" t="s">
        <v>87</v>
      </c>
      <c r="B12" s="3">
        <v>46300</v>
      </c>
      <c r="C12" s="1" t="s">
        <v>81</v>
      </c>
      <c r="D12" s="1" t="s">
        <v>88</v>
      </c>
      <c r="E12" s="1" t="s">
        <v>83</v>
      </c>
      <c r="F12" s="1" t="s">
        <v>89</v>
      </c>
      <c r="G12" s="1" t="s">
        <v>75</v>
      </c>
      <c r="H12" s="1" t="s">
        <v>24</v>
      </c>
      <c r="I12" s="1" t="s">
        <v>90</v>
      </c>
      <c r="J12" s="1" t="s">
        <v>91</v>
      </c>
      <c r="K12" s="1" t="s">
        <v>27</v>
      </c>
      <c r="L12" s="1" t="s">
        <v>28</v>
      </c>
      <c r="M12" s="1">
        <v>15</v>
      </c>
      <c r="N12" s="1" t="s">
        <v>91</v>
      </c>
      <c r="O12" s="1" t="s">
        <v>91</v>
      </c>
      <c r="P12" s="1"/>
      <c r="Q12" t="s">
        <v>79</v>
      </c>
    </row>
    <row r="13" spans="1:18" ht="28.5">
      <c r="A13" s="1" t="s">
        <v>92</v>
      </c>
      <c r="B13" s="3">
        <v>46300</v>
      </c>
      <c r="C13" s="1" t="s">
        <v>81</v>
      </c>
      <c r="D13" s="1" t="s">
        <v>93</v>
      </c>
      <c r="E13" s="1" t="s">
        <v>89</v>
      </c>
      <c r="F13" s="1" t="s">
        <v>94</v>
      </c>
      <c r="G13" s="1" t="s">
        <v>49</v>
      </c>
      <c r="H13" s="1" t="s">
        <v>95</v>
      </c>
      <c r="I13" s="1" t="s">
        <v>96</v>
      </c>
      <c r="J13" s="1" t="s">
        <v>97</v>
      </c>
      <c r="K13" s="1" t="s">
        <v>27</v>
      </c>
      <c r="L13" s="1" t="s">
        <v>28</v>
      </c>
      <c r="M13" s="1">
        <v>16</v>
      </c>
      <c r="N13" s="1" t="s">
        <v>98</v>
      </c>
      <c r="O13" s="1" t="s">
        <v>99</v>
      </c>
      <c r="P13" s="1"/>
      <c r="Q13" t="s">
        <v>30</v>
      </c>
    </row>
    <row r="14" spans="1:18">
      <c r="A14" s="1" t="s">
        <v>100</v>
      </c>
      <c r="B14" s="3">
        <v>46300</v>
      </c>
      <c r="C14" s="1" t="s">
        <v>81</v>
      </c>
      <c r="D14" s="1" t="s">
        <v>93</v>
      </c>
      <c r="E14" s="1" t="s">
        <v>89</v>
      </c>
      <c r="F14" s="1" t="s">
        <v>94</v>
      </c>
      <c r="G14" s="1" t="s">
        <v>101</v>
      </c>
      <c r="H14" s="1" t="s">
        <v>24</v>
      </c>
      <c r="I14" s="1" t="s">
        <v>102</v>
      </c>
      <c r="J14" s="1" t="s">
        <v>103</v>
      </c>
      <c r="K14" s="1" t="s">
        <v>27</v>
      </c>
      <c r="L14" s="1" t="s">
        <v>28</v>
      </c>
      <c r="M14" s="1">
        <v>16</v>
      </c>
      <c r="N14" s="1" t="s">
        <v>98</v>
      </c>
      <c r="O14" s="1" t="s">
        <v>103</v>
      </c>
      <c r="P14" s="1"/>
      <c r="Q14" t="s">
        <v>30</v>
      </c>
    </row>
    <row r="15" spans="1:18">
      <c r="A15" s="1" t="s">
        <v>104</v>
      </c>
      <c r="B15" s="3">
        <v>46300</v>
      </c>
      <c r="C15" s="1" t="s">
        <v>81</v>
      </c>
      <c r="D15" s="1" t="s">
        <v>93</v>
      </c>
      <c r="E15" s="1" t="s">
        <v>89</v>
      </c>
      <c r="F15" s="1" t="s">
        <v>94</v>
      </c>
      <c r="G15" s="1" t="s">
        <v>23</v>
      </c>
      <c r="H15" s="1" t="s">
        <v>95</v>
      </c>
      <c r="I15" s="1" t="s">
        <v>105</v>
      </c>
      <c r="J15" s="1" t="s">
        <v>106</v>
      </c>
      <c r="K15" s="1" t="s">
        <v>27</v>
      </c>
      <c r="L15" s="1" t="s">
        <v>28</v>
      </c>
      <c r="M15" s="1">
        <v>16</v>
      </c>
      <c r="N15" s="1" t="s">
        <v>98</v>
      </c>
      <c r="O15" s="1" t="s">
        <v>107</v>
      </c>
      <c r="P15" s="1"/>
      <c r="Q15" t="s">
        <v>30</v>
      </c>
    </row>
    <row r="16" spans="1:18">
      <c r="A16" s="1" t="s">
        <v>108</v>
      </c>
      <c r="B16" s="3">
        <v>46300</v>
      </c>
      <c r="C16" s="1" t="s">
        <v>81</v>
      </c>
      <c r="D16" s="1" t="s">
        <v>93</v>
      </c>
      <c r="E16" s="1" t="s">
        <v>89</v>
      </c>
      <c r="F16" s="1" t="s">
        <v>94</v>
      </c>
      <c r="G16" s="1" t="s">
        <v>23</v>
      </c>
      <c r="H16" s="1" t="s">
        <v>95</v>
      </c>
      <c r="I16" s="1" t="s">
        <v>109</v>
      </c>
      <c r="J16" s="1" t="s">
        <v>110</v>
      </c>
      <c r="K16" s="1" t="s">
        <v>27</v>
      </c>
      <c r="L16" s="1" t="s">
        <v>28</v>
      </c>
      <c r="M16" s="1">
        <v>16</v>
      </c>
      <c r="N16" s="1" t="s">
        <v>98</v>
      </c>
      <c r="O16" s="1" t="s">
        <v>107</v>
      </c>
      <c r="P16" s="1"/>
      <c r="Q16" t="s">
        <v>30</v>
      </c>
    </row>
    <row r="17" spans="1:17">
      <c r="A17" s="1" t="s">
        <v>111</v>
      </c>
      <c r="B17" s="3">
        <v>46300</v>
      </c>
      <c r="C17" s="1" t="s">
        <v>81</v>
      </c>
      <c r="D17" s="1" t="s">
        <v>93</v>
      </c>
      <c r="E17" s="1" t="s">
        <v>89</v>
      </c>
      <c r="F17" s="1" t="s">
        <v>94</v>
      </c>
      <c r="G17" s="1" t="s">
        <v>33</v>
      </c>
      <c r="H17" s="1" t="s">
        <v>95</v>
      </c>
      <c r="I17" s="1" t="s">
        <v>112</v>
      </c>
      <c r="J17" s="1" t="s">
        <v>113</v>
      </c>
      <c r="K17" s="1" t="s">
        <v>27</v>
      </c>
      <c r="L17" s="1" t="s">
        <v>28</v>
      </c>
      <c r="M17" s="1">
        <v>16</v>
      </c>
      <c r="N17" s="1" t="s">
        <v>98</v>
      </c>
      <c r="O17" s="1" t="s">
        <v>114</v>
      </c>
      <c r="P17" s="1"/>
      <c r="Q17" t="s">
        <v>30</v>
      </c>
    </row>
    <row r="18" spans="1:17">
      <c r="A18" s="1" t="s">
        <v>115</v>
      </c>
      <c r="B18" s="3">
        <v>46300</v>
      </c>
      <c r="C18" s="1" t="s">
        <v>81</v>
      </c>
      <c r="D18" s="1" t="s">
        <v>116</v>
      </c>
      <c r="E18" s="1" t="s">
        <v>22</v>
      </c>
      <c r="F18" s="1" t="s">
        <v>47</v>
      </c>
      <c r="G18" s="1" t="s">
        <v>75</v>
      </c>
      <c r="H18" s="1" t="s">
        <v>24</v>
      </c>
      <c r="I18" s="1" t="s">
        <v>117</v>
      </c>
      <c r="J18" s="1" t="s">
        <v>118</v>
      </c>
      <c r="K18" s="1" t="s">
        <v>27</v>
      </c>
      <c r="L18" s="1" t="s">
        <v>28</v>
      </c>
      <c r="M18" s="1">
        <v>17</v>
      </c>
      <c r="N18" s="1" t="s">
        <v>119</v>
      </c>
      <c r="O18" s="1" t="s">
        <v>118</v>
      </c>
      <c r="P18" s="1"/>
      <c r="Q18" t="s">
        <v>79</v>
      </c>
    </row>
    <row r="19" spans="1:17" ht="28.5">
      <c r="A19" s="1" t="s">
        <v>120</v>
      </c>
      <c r="B19" s="3">
        <v>46300</v>
      </c>
      <c r="C19" s="1" t="s">
        <v>81</v>
      </c>
      <c r="D19" s="1" t="s">
        <v>121</v>
      </c>
      <c r="E19" s="1" t="s">
        <v>47</v>
      </c>
      <c r="F19" s="1" t="s">
        <v>122</v>
      </c>
      <c r="G19" s="1" t="s">
        <v>49</v>
      </c>
      <c r="H19" s="1" t="s">
        <v>95</v>
      </c>
      <c r="I19" s="1" t="s">
        <v>123</v>
      </c>
      <c r="J19" s="1" t="s">
        <v>97</v>
      </c>
      <c r="K19" s="1" t="s">
        <v>27</v>
      </c>
      <c r="L19" s="1" t="s">
        <v>28</v>
      </c>
      <c r="M19" s="1">
        <v>18</v>
      </c>
      <c r="N19" s="1" t="s">
        <v>124</v>
      </c>
      <c r="O19" s="1" t="s">
        <v>125</v>
      </c>
      <c r="P19" s="1"/>
      <c r="Q19" t="s">
        <v>30</v>
      </c>
    </row>
    <row r="20" spans="1:17">
      <c r="A20" s="1" t="s">
        <v>126</v>
      </c>
      <c r="B20" s="3">
        <v>46300</v>
      </c>
      <c r="C20" s="1" t="s">
        <v>81</v>
      </c>
      <c r="D20" s="1" t="s">
        <v>121</v>
      </c>
      <c r="E20" s="1" t="s">
        <v>47</v>
      </c>
      <c r="F20" s="1" t="s">
        <v>122</v>
      </c>
      <c r="G20" s="1" t="s">
        <v>101</v>
      </c>
      <c r="H20" s="1" t="s">
        <v>24</v>
      </c>
      <c r="I20" s="1" t="s">
        <v>127</v>
      </c>
      <c r="J20" s="1" t="s">
        <v>103</v>
      </c>
      <c r="K20" s="1" t="s">
        <v>27</v>
      </c>
      <c r="L20" s="1" t="s">
        <v>28</v>
      </c>
      <c r="M20" s="1">
        <v>18</v>
      </c>
      <c r="N20" s="1" t="s">
        <v>124</v>
      </c>
      <c r="O20" s="1" t="s">
        <v>103</v>
      </c>
      <c r="P20" s="1"/>
      <c r="Q20" t="s">
        <v>30</v>
      </c>
    </row>
    <row r="21" spans="1:17">
      <c r="A21" s="1" t="s">
        <v>128</v>
      </c>
      <c r="B21" s="3">
        <v>46300</v>
      </c>
      <c r="C21" s="1" t="s">
        <v>81</v>
      </c>
      <c r="D21" s="1" t="s">
        <v>121</v>
      </c>
      <c r="E21" s="1" t="s">
        <v>47</v>
      </c>
      <c r="F21" s="1" t="s">
        <v>122</v>
      </c>
      <c r="G21" s="1" t="s">
        <v>23</v>
      </c>
      <c r="H21" s="1" t="s">
        <v>95</v>
      </c>
      <c r="I21" s="1" t="s">
        <v>129</v>
      </c>
      <c r="J21" s="1" t="s">
        <v>130</v>
      </c>
      <c r="K21" s="1" t="s">
        <v>27</v>
      </c>
      <c r="L21" s="1" t="s">
        <v>28</v>
      </c>
      <c r="M21" s="1">
        <v>18</v>
      </c>
      <c r="N21" s="1" t="s">
        <v>124</v>
      </c>
      <c r="O21" s="1" t="s">
        <v>131</v>
      </c>
      <c r="P21" s="1"/>
      <c r="Q21" t="s">
        <v>30</v>
      </c>
    </row>
    <row r="22" spans="1:17" ht="42.75">
      <c r="A22" s="1" t="s">
        <v>132</v>
      </c>
      <c r="B22" s="3">
        <v>46300</v>
      </c>
      <c r="C22" s="1" t="s">
        <v>81</v>
      </c>
      <c r="D22" s="1" t="s">
        <v>121</v>
      </c>
      <c r="E22" s="1" t="s">
        <v>47</v>
      </c>
      <c r="F22" s="1" t="s">
        <v>122</v>
      </c>
      <c r="G22" s="1" t="s">
        <v>33</v>
      </c>
      <c r="H22" s="1" t="s">
        <v>95</v>
      </c>
      <c r="I22" s="1" t="s">
        <v>133</v>
      </c>
      <c r="J22" s="1" t="s">
        <v>134</v>
      </c>
      <c r="K22" s="1" t="s">
        <v>27</v>
      </c>
      <c r="L22" s="1" t="s">
        <v>28</v>
      </c>
      <c r="M22" s="1">
        <v>18</v>
      </c>
      <c r="N22" s="1" t="s">
        <v>124</v>
      </c>
      <c r="O22" s="1" t="s">
        <v>135</v>
      </c>
      <c r="P22" s="1"/>
      <c r="Q22" t="s">
        <v>30</v>
      </c>
    </row>
    <row r="23" spans="1:17">
      <c r="A23" s="1" t="s">
        <v>136</v>
      </c>
      <c r="B23" s="3">
        <v>46300</v>
      </c>
      <c r="C23" s="1" t="s">
        <v>81</v>
      </c>
      <c r="D23" s="1" t="s">
        <v>137</v>
      </c>
      <c r="E23" s="1" t="s">
        <v>138</v>
      </c>
      <c r="F23" s="1" t="s">
        <v>139</v>
      </c>
      <c r="G23" s="1" t="s">
        <v>75</v>
      </c>
      <c r="H23" s="1" t="s">
        <v>24</v>
      </c>
      <c r="I23" s="1" t="s">
        <v>140</v>
      </c>
      <c r="J23" s="1" t="s">
        <v>91</v>
      </c>
      <c r="K23" s="1" t="s">
        <v>27</v>
      </c>
      <c r="L23" s="1" t="s">
        <v>28</v>
      </c>
      <c r="M23" s="1">
        <v>19</v>
      </c>
      <c r="N23" s="1" t="s">
        <v>91</v>
      </c>
      <c r="O23" s="1" t="s">
        <v>91</v>
      </c>
      <c r="P23" s="1"/>
      <c r="Q23" t="s">
        <v>79</v>
      </c>
    </row>
    <row r="24" spans="1:17" ht="42.75">
      <c r="A24" s="1" t="s">
        <v>141</v>
      </c>
      <c r="B24" s="3">
        <v>46300</v>
      </c>
      <c r="C24" s="1" t="s">
        <v>81</v>
      </c>
      <c r="D24" s="1" t="s">
        <v>142</v>
      </c>
      <c r="E24" s="1" t="s">
        <v>143</v>
      </c>
      <c r="F24" s="1" t="s">
        <v>144</v>
      </c>
      <c r="G24" s="1" t="s">
        <v>49</v>
      </c>
      <c r="H24" s="1" t="s">
        <v>95</v>
      </c>
      <c r="I24" s="1" t="s">
        <v>145</v>
      </c>
      <c r="J24" s="1" t="s">
        <v>97</v>
      </c>
      <c r="K24" s="1" t="s">
        <v>27</v>
      </c>
      <c r="L24" s="1" t="s">
        <v>28</v>
      </c>
      <c r="M24" s="1">
        <v>20</v>
      </c>
      <c r="N24" s="1" t="s">
        <v>146</v>
      </c>
      <c r="O24" s="1" t="s">
        <v>147</v>
      </c>
      <c r="P24" s="1"/>
      <c r="Q24" t="s">
        <v>30</v>
      </c>
    </row>
    <row r="25" spans="1:17" ht="42.75">
      <c r="A25" s="1" t="s">
        <v>148</v>
      </c>
      <c r="B25" s="3">
        <v>46300</v>
      </c>
      <c r="C25" s="1" t="s">
        <v>81</v>
      </c>
      <c r="D25" s="1" t="s">
        <v>142</v>
      </c>
      <c r="E25" s="1" t="s">
        <v>143</v>
      </c>
      <c r="F25" s="1" t="s">
        <v>144</v>
      </c>
      <c r="G25" s="1" t="s">
        <v>49</v>
      </c>
      <c r="H25" s="1" t="s">
        <v>95</v>
      </c>
      <c r="I25" s="1" t="s">
        <v>149</v>
      </c>
      <c r="J25" s="1" t="s">
        <v>150</v>
      </c>
      <c r="K25" s="1" t="s">
        <v>27</v>
      </c>
      <c r="L25" s="1" t="s">
        <v>28</v>
      </c>
      <c r="M25" s="1">
        <v>20</v>
      </c>
      <c r="N25" s="1" t="s">
        <v>146</v>
      </c>
      <c r="O25" s="1" t="s">
        <v>147</v>
      </c>
      <c r="P25" s="1"/>
      <c r="Q25" t="s">
        <v>30</v>
      </c>
    </row>
    <row r="26" spans="1:17" ht="42.75">
      <c r="A26" s="1" t="s">
        <v>151</v>
      </c>
      <c r="B26" s="3">
        <v>46300</v>
      </c>
      <c r="C26" s="1" t="s">
        <v>81</v>
      </c>
      <c r="D26" s="1" t="s">
        <v>142</v>
      </c>
      <c r="E26" s="1" t="s">
        <v>143</v>
      </c>
      <c r="F26" s="1" t="s">
        <v>144</v>
      </c>
      <c r="G26" s="1" t="s">
        <v>23</v>
      </c>
      <c r="H26" s="1" t="s">
        <v>95</v>
      </c>
      <c r="I26" s="1" t="s">
        <v>152</v>
      </c>
      <c r="J26" s="1" t="s">
        <v>153</v>
      </c>
      <c r="K26" s="1" t="s">
        <v>27</v>
      </c>
      <c r="L26" s="1" t="s">
        <v>28</v>
      </c>
      <c r="M26" s="1">
        <v>20</v>
      </c>
      <c r="N26" s="1" t="s">
        <v>146</v>
      </c>
      <c r="O26" s="1" t="s">
        <v>154</v>
      </c>
      <c r="P26" s="1"/>
      <c r="Q26" t="s">
        <v>30</v>
      </c>
    </row>
    <row r="27" spans="1:17" ht="42.75">
      <c r="A27" s="1" t="s">
        <v>155</v>
      </c>
      <c r="B27" s="3">
        <v>46300</v>
      </c>
      <c r="C27" s="1" t="s">
        <v>81</v>
      </c>
      <c r="D27" s="1" t="s">
        <v>142</v>
      </c>
      <c r="E27" s="1" t="s">
        <v>143</v>
      </c>
      <c r="F27" s="1" t="s">
        <v>144</v>
      </c>
      <c r="G27" s="1" t="s">
        <v>23</v>
      </c>
      <c r="H27" s="1" t="s">
        <v>95</v>
      </c>
      <c r="I27" s="1" t="s">
        <v>156</v>
      </c>
      <c r="J27" s="1" t="s">
        <v>157</v>
      </c>
      <c r="K27" s="1" t="s">
        <v>27</v>
      </c>
      <c r="L27" s="1" t="s">
        <v>28</v>
      </c>
      <c r="M27" s="1">
        <v>20</v>
      </c>
      <c r="N27" s="1" t="s">
        <v>146</v>
      </c>
      <c r="O27" s="1" t="s">
        <v>154</v>
      </c>
      <c r="P27" s="1"/>
      <c r="Q27" t="s">
        <v>30</v>
      </c>
    </row>
    <row r="28" spans="1:17" ht="28.5">
      <c r="A28" s="1" t="s">
        <v>158</v>
      </c>
      <c r="B28" s="3">
        <v>46300</v>
      </c>
      <c r="C28" s="1" t="s">
        <v>81</v>
      </c>
      <c r="D28" s="1" t="s">
        <v>142</v>
      </c>
      <c r="E28" s="1" t="s">
        <v>143</v>
      </c>
      <c r="F28" s="1" t="s">
        <v>144</v>
      </c>
      <c r="G28" s="1" t="s">
        <v>33</v>
      </c>
      <c r="H28" s="1" t="s">
        <v>95</v>
      </c>
      <c r="I28" s="1" t="s">
        <v>159</v>
      </c>
      <c r="J28" s="1" t="s">
        <v>160</v>
      </c>
      <c r="K28" s="1" t="s">
        <v>27</v>
      </c>
      <c r="L28" s="1" t="s">
        <v>28</v>
      </c>
      <c r="M28" s="1">
        <v>20</v>
      </c>
      <c r="N28" s="1" t="s">
        <v>146</v>
      </c>
      <c r="O28" s="1" t="s">
        <v>161</v>
      </c>
      <c r="P28" s="1"/>
      <c r="Q28" t="s">
        <v>30</v>
      </c>
    </row>
    <row r="29" spans="1:17" ht="42.75">
      <c r="A29" s="1" t="s">
        <v>162</v>
      </c>
      <c r="B29" s="3">
        <v>46300</v>
      </c>
      <c r="C29" s="1" t="s">
        <v>81</v>
      </c>
      <c r="D29" s="1" t="s">
        <v>163</v>
      </c>
      <c r="E29" s="1" t="s">
        <v>66</v>
      </c>
      <c r="F29" s="1" t="s">
        <v>164</v>
      </c>
      <c r="G29" s="1" t="s">
        <v>101</v>
      </c>
      <c r="H29" s="1" t="s">
        <v>24</v>
      </c>
      <c r="I29" s="1" t="s">
        <v>165</v>
      </c>
      <c r="J29" s="1" t="s">
        <v>166</v>
      </c>
      <c r="K29" s="1" t="s">
        <v>36</v>
      </c>
      <c r="L29" s="1" t="s">
        <v>37</v>
      </c>
      <c r="M29" s="1">
        <v>20</v>
      </c>
      <c r="N29" s="1" t="s">
        <v>146</v>
      </c>
      <c r="O29" s="1" t="s">
        <v>167</v>
      </c>
      <c r="P29" s="1" t="s">
        <v>168</v>
      </c>
      <c r="Q29" t="s">
        <v>39</v>
      </c>
    </row>
    <row r="30" spans="1:17" ht="28.5">
      <c r="A30" s="1" t="s">
        <v>169</v>
      </c>
      <c r="B30" s="3">
        <v>46300</v>
      </c>
      <c r="C30" s="1" t="s">
        <v>81</v>
      </c>
      <c r="D30" s="1" t="s">
        <v>170</v>
      </c>
      <c r="E30" s="1" t="s">
        <v>164</v>
      </c>
      <c r="F30" s="1" t="s">
        <v>73</v>
      </c>
      <c r="G30" s="1"/>
      <c r="H30" s="1" t="s">
        <v>24</v>
      </c>
      <c r="I30" s="1" t="s">
        <v>171</v>
      </c>
      <c r="J30" s="1" t="s">
        <v>172</v>
      </c>
      <c r="K30" s="1" t="s">
        <v>36</v>
      </c>
      <c r="L30" s="1" t="s">
        <v>37</v>
      </c>
      <c r="M30" s="1">
        <v>22</v>
      </c>
      <c r="N30" s="1" t="s">
        <v>173</v>
      </c>
      <c r="O30" s="1" t="s">
        <v>172</v>
      </c>
      <c r="P30" s="1" t="s">
        <v>174</v>
      </c>
      <c r="Q30" t="s">
        <v>39</v>
      </c>
    </row>
    <row r="31" spans="1:17" ht="42.75">
      <c r="A31" s="1" t="s">
        <v>175</v>
      </c>
      <c r="B31" s="3">
        <v>46300</v>
      </c>
      <c r="C31" s="1" t="s">
        <v>81</v>
      </c>
      <c r="D31" s="1" t="s">
        <v>176</v>
      </c>
      <c r="E31" s="1" t="s">
        <v>177</v>
      </c>
      <c r="F31" s="1" t="s">
        <v>178</v>
      </c>
      <c r="G31" s="1" t="s">
        <v>23</v>
      </c>
      <c r="H31" s="1" t="s">
        <v>24</v>
      </c>
      <c r="I31" s="1" t="s">
        <v>179</v>
      </c>
      <c r="J31" s="1" t="s">
        <v>180</v>
      </c>
      <c r="K31" s="1" t="s">
        <v>27</v>
      </c>
      <c r="L31" s="1" t="s">
        <v>181</v>
      </c>
      <c r="M31" s="1">
        <v>20</v>
      </c>
      <c r="N31" s="1" t="s">
        <v>157</v>
      </c>
      <c r="O31" s="1" t="s">
        <v>182</v>
      </c>
      <c r="P31" s="1" t="s">
        <v>183</v>
      </c>
      <c r="Q31" t="s">
        <v>30</v>
      </c>
    </row>
    <row r="32" spans="1:17" ht="28.5">
      <c r="A32" s="1" t="s">
        <v>184</v>
      </c>
      <c r="B32" s="3">
        <v>46301</v>
      </c>
      <c r="C32" s="1" t="s">
        <v>185</v>
      </c>
      <c r="D32" s="1" t="s">
        <v>82</v>
      </c>
      <c r="E32" s="1" t="s">
        <v>21</v>
      </c>
      <c r="F32" s="1" t="s">
        <v>83</v>
      </c>
      <c r="G32" s="1" t="s">
        <v>49</v>
      </c>
      <c r="H32" s="1" t="s">
        <v>24</v>
      </c>
      <c r="I32" s="1" t="s">
        <v>186</v>
      </c>
      <c r="J32" s="1" t="s">
        <v>187</v>
      </c>
      <c r="K32" s="1" t="s">
        <v>27</v>
      </c>
      <c r="L32" s="1" t="s">
        <v>28</v>
      </c>
      <c r="M32" s="1">
        <v>28</v>
      </c>
      <c r="N32" s="1" t="s">
        <v>188</v>
      </c>
      <c r="O32" s="1" t="s">
        <v>187</v>
      </c>
      <c r="P32" s="1"/>
      <c r="Q32" t="s">
        <v>30</v>
      </c>
    </row>
    <row r="33" spans="1:18">
      <c r="A33" s="1" t="s">
        <v>189</v>
      </c>
      <c r="B33" s="3">
        <v>46301</v>
      </c>
      <c r="C33" s="1" t="s">
        <v>185</v>
      </c>
      <c r="D33" s="1" t="s">
        <v>88</v>
      </c>
      <c r="E33" s="1" t="s">
        <v>83</v>
      </c>
      <c r="F33" s="1" t="s">
        <v>89</v>
      </c>
      <c r="G33" s="1" t="s">
        <v>75</v>
      </c>
      <c r="H33" s="1" t="s">
        <v>24</v>
      </c>
      <c r="I33" s="1" t="s">
        <v>190</v>
      </c>
      <c r="J33" s="1" t="s">
        <v>91</v>
      </c>
      <c r="K33" s="1" t="s">
        <v>27</v>
      </c>
      <c r="L33" s="1" t="s">
        <v>28</v>
      </c>
      <c r="M33" s="1">
        <v>29</v>
      </c>
      <c r="N33" s="1" t="s">
        <v>91</v>
      </c>
      <c r="O33" s="1" t="s">
        <v>91</v>
      </c>
      <c r="P33" s="1"/>
      <c r="Q33" t="s">
        <v>79</v>
      </c>
    </row>
    <row r="34" spans="1:18">
      <c r="A34" s="1" t="s">
        <v>191</v>
      </c>
      <c r="B34" s="3">
        <v>46301</v>
      </c>
      <c r="C34" s="1" t="s">
        <v>185</v>
      </c>
      <c r="D34" s="1" t="s">
        <v>93</v>
      </c>
      <c r="E34" s="1" t="s">
        <v>89</v>
      </c>
      <c r="F34" s="1" t="s">
        <v>94</v>
      </c>
      <c r="G34" s="1" t="s">
        <v>49</v>
      </c>
      <c r="H34" s="1" t="s">
        <v>95</v>
      </c>
      <c r="I34" s="1" t="s">
        <v>192</v>
      </c>
      <c r="J34" s="1" t="s">
        <v>193</v>
      </c>
      <c r="K34" s="1" t="s">
        <v>27</v>
      </c>
      <c r="L34" s="1" t="s">
        <v>28</v>
      </c>
      <c r="M34" s="1">
        <v>30</v>
      </c>
      <c r="N34" s="1" t="s">
        <v>98</v>
      </c>
      <c r="O34" s="1" t="s">
        <v>194</v>
      </c>
      <c r="P34" s="1"/>
      <c r="Q34" t="s">
        <v>30</v>
      </c>
    </row>
    <row r="35" spans="1:18">
      <c r="A35" s="1" t="s">
        <v>195</v>
      </c>
      <c r="B35" s="3">
        <v>46301</v>
      </c>
      <c r="C35" s="1" t="s">
        <v>185</v>
      </c>
      <c r="D35" s="1" t="s">
        <v>93</v>
      </c>
      <c r="E35" s="1" t="s">
        <v>89</v>
      </c>
      <c r="F35" s="1" t="s">
        <v>94</v>
      </c>
      <c r="G35" s="1" t="s">
        <v>101</v>
      </c>
      <c r="H35" s="1" t="s">
        <v>24</v>
      </c>
      <c r="I35" s="1" t="s">
        <v>196</v>
      </c>
      <c r="J35" s="1" t="s">
        <v>103</v>
      </c>
      <c r="K35" s="1" t="s">
        <v>27</v>
      </c>
      <c r="L35" s="1" t="s">
        <v>28</v>
      </c>
      <c r="M35" s="1">
        <v>30</v>
      </c>
      <c r="N35" s="1" t="s">
        <v>98</v>
      </c>
      <c r="O35" s="1" t="s">
        <v>103</v>
      </c>
      <c r="P35" s="1"/>
      <c r="Q35" t="s">
        <v>30</v>
      </c>
    </row>
    <row r="36" spans="1:18" ht="28.5">
      <c r="A36" s="1" t="s">
        <v>197</v>
      </c>
      <c r="B36" s="3">
        <v>46301</v>
      </c>
      <c r="C36" s="1" t="s">
        <v>185</v>
      </c>
      <c r="D36" s="1" t="s">
        <v>93</v>
      </c>
      <c r="E36" s="1" t="s">
        <v>89</v>
      </c>
      <c r="F36" s="1" t="s">
        <v>94</v>
      </c>
      <c r="G36" s="1" t="s">
        <v>23</v>
      </c>
      <c r="H36" s="1" t="s">
        <v>95</v>
      </c>
      <c r="I36" s="1" t="s">
        <v>198</v>
      </c>
      <c r="J36" s="1" t="s">
        <v>150</v>
      </c>
      <c r="K36" s="1" t="s">
        <v>27</v>
      </c>
      <c r="L36" s="1" t="s">
        <v>28</v>
      </c>
      <c r="M36" s="1">
        <v>30</v>
      </c>
      <c r="N36" s="1" t="s">
        <v>98</v>
      </c>
      <c r="O36" s="1" t="s">
        <v>199</v>
      </c>
      <c r="P36" s="1"/>
      <c r="Q36" t="s">
        <v>30</v>
      </c>
    </row>
    <row r="37" spans="1:18" ht="28.5">
      <c r="A37" s="1" t="s">
        <v>200</v>
      </c>
      <c r="B37" s="3">
        <v>46301</v>
      </c>
      <c r="C37" s="1" t="s">
        <v>185</v>
      </c>
      <c r="D37" s="1" t="s">
        <v>93</v>
      </c>
      <c r="E37" s="1" t="s">
        <v>89</v>
      </c>
      <c r="F37" s="1" t="s">
        <v>94</v>
      </c>
      <c r="G37" s="1" t="s">
        <v>33</v>
      </c>
      <c r="H37" s="1" t="s">
        <v>95</v>
      </c>
      <c r="I37" s="1" t="s">
        <v>201</v>
      </c>
      <c r="J37" s="1" t="s">
        <v>202</v>
      </c>
      <c r="K37" s="1" t="s">
        <v>27</v>
      </c>
      <c r="L37" s="1" t="s">
        <v>28</v>
      </c>
      <c r="M37" s="1">
        <v>30</v>
      </c>
      <c r="N37" s="1" t="s">
        <v>98</v>
      </c>
      <c r="O37" s="1" t="s">
        <v>203</v>
      </c>
      <c r="P37" s="1"/>
      <c r="Q37" t="s">
        <v>30</v>
      </c>
    </row>
    <row r="38" spans="1:18" ht="28.5">
      <c r="A38" s="1" t="s">
        <v>204</v>
      </c>
      <c r="B38" s="3">
        <v>46301</v>
      </c>
      <c r="C38" s="1" t="s">
        <v>185</v>
      </c>
      <c r="D38" s="1" t="s">
        <v>93</v>
      </c>
      <c r="E38" s="1" t="s">
        <v>89</v>
      </c>
      <c r="F38" s="1" t="s">
        <v>94</v>
      </c>
      <c r="G38" s="1" t="s">
        <v>33</v>
      </c>
      <c r="H38" s="1" t="s">
        <v>95</v>
      </c>
      <c r="I38" s="1" t="s">
        <v>205</v>
      </c>
      <c r="J38" s="1" t="s">
        <v>160</v>
      </c>
      <c r="K38" s="1" t="s">
        <v>27</v>
      </c>
      <c r="L38" s="1" t="s">
        <v>28</v>
      </c>
      <c r="M38" s="1">
        <v>30</v>
      </c>
      <c r="N38" s="1" t="s">
        <v>98</v>
      </c>
      <c r="O38" s="1" t="s">
        <v>203</v>
      </c>
      <c r="P38" s="1"/>
      <c r="Q38" t="s">
        <v>30</v>
      </c>
    </row>
    <row r="39" spans="1:18">
      <c r="A39" s="1" t="s">
        <v>206</v>
      </c>
      <c r="B39" s="3">
        <v>46301</v>
      </c>
      <c r="C39" s="1" t="s">
        <v>185</v>
      </c>
      <c r="D39" s="1" t="s">
        <v>116</v>
      </c>
      <c r="E39" s="1" t="s">
        <v>22</v>
      </c>
      <c r="F39" s="1" t="s">
        <v>47</v>
      </c>
      <c r="G39" s="1" t="s">
        <v>75</v>
      </c>
      <c r="H39" s="1" t="s">
        <v>24</v>
      </c>
      <c r="I39" s="1" t="s">
        <v>207</v>
      </c>
      <c r="J39" s="1" t="s">
        <v>208</v>
      </c>
      <c r="K39" s="1" t="s">
        <v>27</v>
      </c>
      <c r="L39" s="1" t="s">
        <v>28</v>
      </c>
      <c r="M39" s="1">
        <v>31</v>
      </c>
      <c r="N39" s="1" t="s">
        <v>208</v>
      </c>
      <c r="O39" s="1" t="s">
        <v>208</v>
      </c>
      <c r="P39" s="1"/>
      <c r="Q39" t="s">
        <v>79</v>
      </c>
    </row>
    <row r="40" spans="1:18" ht="42.75">
      <c r="A40" s="1" t="s">
        <v>209</v>
      </c>
      <c r="B40" s="3">
        <v>46301</v>
      </c>
      <c r="C40" s="1" t="s">
        <v>185</v>
      </c>
      <c r="D40" s="1" t="s">
        <v>121</v>
      </c>
      <c r="E40" s="1" t="s">
        <v>47</v>
      </c>
      <c r="F40" s="1" t="s">
        <v>122</v>
      </c>
      <c r="G40" s="1" t="s">
        <v>49</v>
      </c>
      <c r="H40" s="1" t="s">
        <v>95</v>
      </c>
      <c r="I40" s="1" t="s">
        <v>210</v>
      </c>
      <c r="J40" s="1" t="s">
        <v>211</v>
      </c>
      <c r="K40" s="1" t="s">
        <v>27</v>
      </c>
      <c r="L40" s="1" t="s">
        <v>28</v>
      </c>
      <c r="M40" s="1">
        <v>32</v>
      </c>
      <c r="N40" s="1" t="s">
        <v>212</v>
      </c>
      <c r="O40" s="1" t="s">
        <v>213</v>
      </c>
      <c r="P40" s="1"/>
      <c r="Q40" t="s">
        <v>30</v>
      </c>
    </row>
    <row r="41" spans="1:18" ht="42.75">
      <c r="A41" s="1" t="s">
        <v>214</v>
      </c>
      <c r="B41" s="3">
        <v>46301</v>
      </c>
      <c r="C41" s="1" t="s">
        <v>185</v>
      </c>
      <c r="D41" s="1" t="s">
        <v>121</v>
      </c>
      <c r="E41" s="1" t="s">
        <v>47</v>
      </c>
      <c r="F41" s="1" t="s">
        <v>122</v>
      </c>
      <c r="G41" s="1" t="s">
        <v>49</v>
      </c>
      <c r="H41" s="1" t="s">
        <v>95</v>
      </c>
      <c r="I41" s="1" t="s">
        <v>215</v>
      </c>
      <c r="J41" s="1" t="s">
        <v>193</v>
      </c>
      <c r="K41" s="1" t="s">
        <v>27</v>
      </c>
      <c r="L41" s="1" t="s">
        <v>28</v>
      </c>
      <c r="M41" s="1">
        <v>32</v>
      </c>
      <c r="N41" s="1" t="s">
        <v>212</v>
      </c>
      <c r="O41" s="1" t="s">
        <v>213</v>
      </c>
      <c r="P41" s="1"/>
      <c r="Q41" t="s">
        <v>30</v>
      </c>
    </row>
    <row r="42" spans="1:18">
      <c r="A42" s="1" t="s">
        <v>216</v>
      </c>
      <c r="B42" s="3">
        <v>46301</v>
      </c>
      <c r="C42" s="1" t="s">
        <v>185</v>
      </c>
      <c r="D42" s="1" t="s">
        <v>121</v>
      </c>
      <c r="E42" s="1" t="s">
        <v>47</v>
      </c>
      <c r="F42" s="1" t="s">
        <v>122</v>
      </c>
      <c r="G42" s="1" t="s">
        <v>101</v>
      </c>
      <c r="H42" s="1" t="s">
        <v>24</v>
      </c>
      <c r="I42" s="1" t="s">
        <v>217</v>
      </c>
      <c r="J42" s="1" t="s">
        <v>103</v>
      </c>
      <c r="K42" s="1" t="s">
        <v>27</v>
      </c>
      <c r="L42" s="1" t="s">
        <v>28</v>
      </c>
      <c r="M42" s="1">
        <v>32</v>
      </c>
      <c r="N42" s="1" t="s">
        <v>212</v>
      </c>
      <c r="O42" s="1" t="s">
        <v>103</v>
      </c>
      <c r="P42" s="1"/>
      <c r="Q42" t="s">
        <v>30</v>
      </c>
    </row>
    <row r="43" spans="1:18" ht="28.5">
      <c r="A43" s="1" t="s">
        <v>218</v>
      </c>
      <c r="B43" s="3">
        <v>46301</v>
      </c>
      <c r="C43" s="1" t="s">
        <v>185</v>
      </c>
      <c r="D43" s="1" t="s">
        <v>121</v>
      </c>
      <c r="E43" s="1" t="s">
        <v>47</v>
      </c>
      <c r="F43" s="1" t="s">
        <v>122</v>
      </c>
      <c r="G43" s="1" t="s">
        <v>23</v>
      </c>
      <c r="H43" s="1" t="s">
        <v>95</v>
      </c>
      <c r="I43" s="1" t="s">
        <v>219</v>
      </c>
      <c r="J43" s="1" t="s">
        <v>220</v>
      </c>
      <c r="K43" s="1" t="s">
        <v>27</v>
      </c>
      <c r="L43" s="1" t="s">
        <v>28</v>
      </c>
      <c r="M43" s="1">
        <v>32</v>
      </c>
      <c r="N43" s="1" t="s">
        <v>212</v>
      </c>
      <c r="O43" s="1" t="s">
        <v>221</v>
      </c>
      <c r="P43" s="1"/>
      <c r="Q43" t="s">
        <v>30</v>
      </c>
    </row>
    <row r="44" spans="1:18">
      <c r="A44" s="1" t="s">
        <v>222</v>
      </c>
      <c r="B44" s="3">
        <v>46301</v>
      </c>
      <c r="C44" s="1" t="s">
        <v>185</v>
      </c>
      <c r="D44" s="1" t="s">
        <v>121</v>
      </c>
      <c r="E44" s="1" t="s">
        <v>47</v>
      </c>
      <c r="F44" s="1" t="s">
        <v>122</v>
      </c>
      <c r="G44" s="1" t="s">
        <v>33</v>
      </c>
      <c r="H44" s="1" t="s">
        <v>95</v>
      </c>
      <c r="I44" s="1" t="s">
        <v>223</v>
      </c>
      <c r="J44" s="1" t="s">
        <v>202</v>
      </c>
      <c r="K44" s="1" t="s">
        <v>27</v>
      </c>
      <c r="L44" s="1" t="s">
        <v>28</v>
      </c>
      <c r="M44" s="1">
        <v>32</v>
      </c>
      <c r="N44" s="1" t="s">
        <v>212</v>
      </c>
      <c r="O44" s="1" t="s">
        <v>224</v>
      </c>
      <c r="P44" s="1"/>
      <c r="Q44" t="s">
        <v>30</v>
      </c>
    </row>
    <row r="45" spans="1:18">
      <c r="A45" s="1" t="s">
        <v>225</v>
      </c>
      <c r="B45" s="3">
        <v>46301</v>
      </c>
      <c r="C45" s="1" t="s">
        <v>185</v>
      </c>
      <c r="D45" s="1" t="s">
        <v>137</v>
      </c>
      <c r="E45" s="1" t="s">
        <v>138</v>
      </c>
      <c r="F45" s="1" t="s">
        <v>139</v>
      </c>
      <c r="G45" s="1" t="s">
        <v>75</v>
      </c>
      <c r="H45" s="1" t="s">
        <v>24</v>
      </c>
      <c r="I45" s="1" t="s">
        <v>226</v>
      </c>
      <c r="J45" s="1" t="s">
        <v>91</v>
      </c>
      <c r="K45" s="1" t="s">
        <v>27</v>
      </c>
      <c r="L45" s="1" t="s">
        <v>28</v>
      </c>
      <c r="M45" s="1">
        <v>33</v>
      </c>
      <c r="N45" s="1" t="s">
        <v>91</v>
      </c>
      <c r="O45" s="1" t="s">
        <v>91</v>
      </c>
      <c r="P45" s="1"/>
      <c r="Q45" t="s">
        <v>79</v>
      </c>
    </row>
    <row r="46" spans="1:18" ht="57">
      <c r="A46" s="1" t="s">
        <v>227</v>
      </c>
      <c r="B46" s="3">
        <v>46301</v>
      </c>
      <c r="C46" s="1" t="s">
        <v>185</v>
      </c>
      <c r="D46" s="1" t="s">
        <v>228</v>
      </c>
      <c r="E46" s="1" t="s">
        <v>122</v>
      </c>
      <c r="F46" s="1" t="s">
        <v>229</v>
      </c>
      <c r="G46" s="1" t="s">
        <v>23</v>
      </c>
      <c r="H46" s="1" t="s">
        <v>24</v>
      </c>
      <c r="I46" s="1" t="s">
        <v>230</v>
      </c>
      <c r="J46" s="1" t="s">
        <v>231</v>
      </c>
      <c r="K46" s="1" t="s">
        <v>27</v>
      </c>
      <c r="L46" s="1" t="s">
        <v>28</v>
      </c>
      <c r="M46" s="1">
        <v>34</v>
      </c>
      <c r="N46" s="1" t="s">
        <v>232</v>
      </c>
      <c r="O46" s="1" t="s">
        <v>233</v>
      </c>
      <c r="P46" s="1" t="s">
        <v>234</v>
      </c>
      <c r="Q46" t="s">
        <v>235</v>
      </c>
      <c r="R46" t="s">
        <v>236</v>
      </c>
    </row>
    <row r="47" spans="1:18" ht="28.5">
      <c r="A47" s="1" t="s">
        <v>237</v>
      </c>
      <c r="B47" s="3">
        <v>46301</v>
      </c>
      <c r="C47" s="1" t="s">
        <v>185</v>
      </c>
      <c r="D47" s="1" t="s">
        <v>142</v>
      </c>
      <c r="E47" s="1" t="s">
        <v>143</v>
      </c>
      <c r="F47" s="1" t="s">
        <v>144</v>
      </c>
      <c r="G47" s="1" t="s">
        <v>49</v>
      </c>
      <c r="H47" s="1" t="s">
        <v>95</v>
      </c>
      <c r="I47" s="1" t="s">
        <v>238</v>
      </c>
      <c r="J47" s="1" t="s">
        <v>211</v>
      </c>
      <c r="K47" s="1" t="s">
        <v>27</v>
      </c>
      <c r="L47" s="1" t="s">
        <v>28</v>
      </c>
      <c r="M47" s="1">
        <v>34</v>
      </c>
      <c r="N47" s="1" t="s">
        <v>232</v>
      </c>
      <c r="O47" s="1" t="s">
        <v>239</v>
      </c>
      <c r="P47" s="1"/>
      <c r="Q47" t="s">
        <v>30</v>
      </c>
    </row>
    <row r="48" spans="1:18">
      <c r="A48" s="1" t="s">
        <v>240</v>
      </c>
      <c r="B48" s="3">
        <v>46301</v>
      </c>
      <c r="C48" s="1" t="s">
        <v>185</v>
      </c>
      <c r="D48" s="1" t="s">
        <v>142</v>
      </c>
      <c r="E48" s="1" t="s">
        <v>143</v>
      </c>
      <c r="F48" s="1" t="s">
        <v>144</v>
      </c>
      <c r="G48" s="1" t="s">
        <v>101</v>
      </c>
      <c r="H48" s="1" t="s">
        <v>24</v>
      </c>
      <c r="I48" s="1" t="s">
        <v>241</v>
      </c>
      <c r="J48" s="1" t="s">
        <v>242</v>
      </c>
      <c r="K48" s="1" t="s">
        <v>27</v>
      </c>
      <c r="L48" s="1" t="s">
        <v>28</v>
      </c>
      <c r="M48" s="1">
        <v>34</v>
      </c>
      <c r="N48" s="1" t="s">
        <v>232</v>
      </c>
      <c r="O48" s="1" t="s">
        <v>242</v>
      </c>
      <c r="P48" s="1"/>
      <c r="Q48" t="s">
        <v>30</v>
      </c>
    </row>
    <row r="49" spans="1:18" ht="28.5">
      <c r="A49" s="1" t="s">
        <v>243</v>
      </c>
      <c r="B49" s="3">
        <v>46301</v>
      </c>
      <c r="C49" s="1" t="s">
        <v>185</v>
      </c>
      <c r="D49" s="1" t="s">
        <v>142</v>
      </c>
      <c r="E49" s="1" t="s">
        <v>143</v>
      </c>
      <c r="F49" s="1" t="s">
        <v>144</v>
      </c>
      <c r="G49" s="1" t="s">
        <v>33</v>
      </c>
      <c r="H49" s="1" t="s">
        <v>95</v>
      </c>
      <c r="I49" s="1" t="s">
        <v>244</v>
      </c>
      <c r="J49" s="1" t="s">
        <v>245</v>
      </c>
      <c r="K49" s="1" t="s">
        <v>27</v>
      </c>
      <c r="L49" s="1" t="s">
        <v>28</v>
      </c>
      <c r="M49" s="1">
        <v>34</v>
      </c>
      <c r="N49" s="1" t="s">
        <v>232</v>
      </c>
      <c r="O49" s="1" t="s">
        <v>246</v>
      </c>
      <c r="P49" s="1"/>
      <c r="Q49" t="s">
        <v>30</v>
      </c>
    </row>
    <row r="50" spans="1:18" ht="57">
      <c r="A50" s="1" t="s">
        <v>247</v>
      </c>
      <c r="B50" s="3">
        <v>46301</v>
      </c>
      <c r="C50" s="1" t="s">
        <v>185</v>
      </c>
      <c r="D50" s="1" t="s">
        <v>248</v>
      </c>
      <c r="E50" s="1" t="s">
        <v>229</v>
      </c>
      <c r="F50" s="1" t="s">
        <v>249</v>
      </c>
      <c r="G50" s="1" t="s">
        <v>23</v>
      </c>
      <c r="H50" s="1" t="s">
        <v>95</v>
      </c>
      <c r="I50" s="1" t="s">
        <v>250</v>
      </c>
      <c r="J50" s="1" t="s">
        <v>251</v>
      </c>
      <c r="K50" s="1" t="s">
        <v>27</v>
      </c>
      <c r="L50" s="1" t="s">
        <v>28</v>
      </c>
      <c r="M50" s="1">
        <v>34</v>
      </c>
      <c r="N50" s="1" t="s">
        <v>232</v>
      </c>
      <c r="O50" s="1" t="s">
        <v>233</v>
      </c>
      <c r="P50" s="1" t="s">
        <v>252</v>
      </c>
      <c r="Q50" t="s">
        <v>235</v>
      </c>
      <c r="R50" t="s">
        <v>236</v>
      </c>
    </row>
    <row r="51" spans="1:18" ht="28.5">
      <c r="A51" s="1" t="s">
        <v>253</v>
      </c>
      <c r="B51" s="3">
        <v>46302</v>
      </c>
      <c r="C51" s="1" t="s">
        <v>254</v>
      </c>
      <c r="D51" s="1" t="s">
        <v>255</v>
      </c>
      <c r="E51" s="1" t="s">
        <v>144</v>
      </c>
      <c r="F51" s="1" t="s">
        <v>73</v>
      </c>
      <c r="G51" s="1"/>
      <c r="H51" s="1" t="s">
        <v>24</v>
      </c>
      <c r="I51" s="1" t="s">
        <v>256</v>
      </c>
      <c r="J51" s="1" t="s">
        <v>257</v>
      </c>
      <c r="K51" s="1" t="s">
        <v>27</v>
      </c>
      <c r="L51" s="1" t="s">
        <v>28</v>
      </c>
      <c r="M51" s="1">
        <v>41</v>
      </c>
      <c r="N51" s="1" t="s">
        <v>173</v>
      </c>
      <c r="O51" s="1" t="s">
        <v>257</v>
      </c>
      <c r="P51" s="1"/>
      <c r="Q51" t="s">
        <v>258</v>
      </c>
    </row>
    <row r="52" spans="1:18" ht="28.5">
      <c r="A52" s="1" t="s">
        <v>259</v>
      </c>
      <c r="B52" s="3">
        <v>46302</v>
      </c>
      <c r="C52" s="1" t="s">
        <v>254</v>
      </c>
      <c r="D52" s="1" t="s">
        <v>260</v>
      </c>
      <c r="E52" s="1"/>
      <c r="F52" s="1"/>
      <c r="G52" s="1"/>
      <c r="H52" s="1" t="s">
        <v>24</v>
      </c>
      <c r="I52" s="1" t="s">
        <v>261</v>
      </c>
      <c r="J52" s="1" t="s">
        <v>262</v>
      </c>
      <c r="K52" s="1" t="s">
        <v>27</v>
      </c>
      <c r="L52" s="1" t="s">
        <v>28</v>
      </c>
      <c r="M52" s="1">
        <v>40</v>
      </c>
      <c r="N52" s="1" t="s">
        <v>173</v>
      </c>
      <c r="O52" s="1" t="s">
        <v>262</v>
      </c>
      <c r="P52" s="1"/>
      <c r="Q52" t="s">
        <v>258</v>
      </c>
    </row>
    <row r="53" spans="1:18" ht="28.5">
      <c r="A53" s="1" t="s">
        <v>263</v>
      </c>
      <c r="B53" s="3">
        <v>46303</v>
      </c>
      <c r="C53" s="1" t="s">
        <v>264</v>
      </c>
      <c r="D53" s="1" t="s">
        <v>82</v>
      </c>
      <c r="E53" s="1" t="s">
        <v>21</v>
      </c>
      <c r="F53" s="1" t="s">
        <v>83</v>
      </c>
      <c r="G53" s="1" t="s">
        <v>49</v>
      </c>
      <c r="H53" s="1" t="s">
        <v>24</v>
      </c>
      <c r="I53" s="1" t="s">
        <v>265</v>
      </c>
      <c r="J53" s="1" t="s">
        <v>266</v>
      </c>
      <c r="K53" s="1" t="s">
        <v>27</v>
      </c>
      <c r="L53" s="1" t="s">
        <v>28</v>
      </c>
      <c r="M53" s="1">
        <v>46</v>
      </c>
      <c r="N53" s="1" t="s">
        <v>267</v>
      </c>
      <c r="O53" s="1" t="s">
        <v>266</v>
      </c>
      <c r="P53" s="1"/>
      <c r="Q53" t="s">
        <v>30</v>
      </c>
    </row>
    <row r="54" spans="1:18">
      <c r="A54" s="1" t="s">
        <v>268</v>
      </c>
      <c r="B54" s="3">
        <v>46303</v>
      </c>
      <c r="C54" s="1" t="s">
        <v>264</v>
      </c>
      <c r="D54" s="1" t="s">
        <v>88</v>
      </c>
      <c r="E54" s="1" t="s">
        <v>83</v>
      </c>
      <c r="F54" s="1" t="s">
        <v>89</v>
      </c>
      <c r="G54" s="1" t="s">
        <v>75</v>
      </c>
      <c r="H54" s="1" t="s">
        <v>24</v>
      </c>
      <c r="I54" s="1" t="s">
        <v>269</v>
      </c>
      <c r="J54" s="1" t="s">
        <v>91</v>
      </c>
      <c r="K54" s="1" t="s">
        <v>27</v>
      </c>
      <c r="L54" s="1" t="s">
        <v>28</v>
      </c>
      <c r="M54" s="1">
        <v>47</v>
      </c>
      <c r="N54" s="1" t="s">
        <v>91</v>
      </c>
      <c r="O54" s="1" t="s">
        <v>91</v>
      </c>
      <c r="P54" s="1"/>
      <c r="Q54" t="s">
        <v>79</v>
      </c>
    </row>
    <row r="55" spans="1:18" ht="28.5">
      <c r="A55" s="1" t="s">
        <v>270</v>
      </c>
      <c r="B55" s="3">
        <v>46303</v>
      </c>
      <c r="C55" s="1" t="s">
        <v>264</v>
      </c>
      <c r="D55" s="1" t="s">
        <v>93</v>
      </c>
      <c r="E55" s="1" t="s">
        <v>89</v>
      </c>
      <c r="F55" s="1" t="s">
        <v>94</v>
      </c>
      <c r="G55" s="1" t="s">
        <v>49</v>
      </c>
      <c r="H55" s="1" t="s">
        <v>95</v>
      </c>
      <c r="I55" s="1" t="s">
        <v>271</v>
      </c>
      <c r="J55" s="1" t="s">
        <v>272</v>
      </c>
      <c r="K55" s="1" t="s">
        <v>27</v>
      </c>
      <c r="L55" s="1" t="s">
        <v>28</v>
      </c>
      <c r="M55" s="1">
        <v>48</v>
      </c>
      <c r="N55" s="1" t="s">
        <v>98</v>
      </c>
      <c r="O55" s="1" t="s">
        <v>273</v>
      </c>
      <c r="P55" s="1"/>
      <c r="Q55" t="s">
        <v>30</v>
      </c>
    </row>
    <row r="56" spans="1:18">
      <c r="A56" s="1" t="s">
        <v>274</v>
      </c>
      <c r="B56" s="3">
        <v>46303</v>
      </c>
      <c r="C56" s="1" t="s">
        <v>264</v>
      </c>
      <c r="D56" s="1" t="s">
        <v>93</v>
      </c>
      <c r="E56" s="1" t="s">
        <v>89</v>
      </c>
      <c r="F56" s="1" t="s">
        <v>94</v>
      </c>
      <c r="G56" s="1" t="s">
        <v>101</v>
      </c>
      <c r="H56" s="1" t="s">
        <v>24</v>
      </c>
      <c r="I56" s="1" t="s">
        <v>275</v>
      </c>
      <c r="J56" s="1" t="s">
        <v>103</v>
      </c>
      <c r="K56" s="1" t="s">
        <v>27</v>
      </c>
      <c r="L56" s="1" t="s">
        <v>28</v>
      </c>
      <c r="M56" s="1">
        <v>48</v>
      </c>
      <c r="N56" s="1" t="s">
        <v>98</v>
      </c>
      <c r="O56" s="1" t="s">
        <v>103</v>
      </c>
      <c r="P56" s="1"/>
      <c r="Q56" t="s">
        <v>30</v>
      </c>
    </row>
    <row r="57" spans="1:18" ht="28.5">
      <c r="A57" s="1" t="s">
        <v>276</v>
      </c>
      <c r="B57" s="3">
        <v>46303</v>
      </c>
      <c r="C57" s="1" t="s">
        <v>264</v>
      </c>
      <c r="D57" s="1" t="s">
        <v>93</v>
      </c>
      <c r="E57" s="1" t="s">
        <v>89</v>
      </c>
      <c r="F57" s="1" t="s">
        <v>94</v>
      </c>
      <c r="G57" s="1" t="s">
        <v>23</v>
      </c>
      <c r="H57" s="1" t="s">
        <v>95</v>
      </c>
      <c r="I57" s="1" t="s">
        <v>277</v>
      </c>
      <c r="J57" s="1" t="s">
        <v>278</v>
      </c>
      <c r="K57" s="1" t="s">
        <v>27</v>
      </c>
      <c r="L57" s="1" t="s">
        <v>28</v>
      </c>
      <c r="M57" s="1">
        <v>48</v>
      </c>
      <c r="N57" s="1" t="s">
        <v>98</v>
      </c>
      <c r="O57" s="1" t="s">
        <v>279</v>
      </c>
      <c r="P57" s="1"/>
      <c r="Q57" t="s">
        <v>30</v>
      </c>
    </row>
    <row r="58" spans="1:18" ht="28.5">
      <c r="A58" s="1" t="s">
        <v>280</v>
      </c>
      <c r="B58" s="3">
        <v>46303</v>
      </c>
      <c r="C58" s="1" t="s">
        <v>264</v>
      </c>
      <c r="D58" s="1" t="s">
        <v>93</v>
      </c>
      <c r="E58" s="1" t="s">
        <v>89</v>
      </c>
      <c r="F58" s="1" t="s">
        <v>94</v>
      </c>
      <c r="G58" s="1" t="s">
        <v>33</v>
      </c>
      <c r="H58" s="1" t="s">
        <v>95</v>
      </c>
      <c r="I58" s="1" t="s">
        <v>281</v>
      </c>
      <c r="J58" s="1" t="s">
        <v>282</v>
      </c>
      <c r="K58" s="1" t="s">
        <v>27</v>
      </c>
      <c r="L58" s="1" t="s">
        <v>28</v>
      </c>
      <c r="M58" s="1">
        <v>48</v>
      </c>
      <c r="N58" s="1" t="s">
        <v>98</v>
      </c>
      <c r="O58" s="1" t="s">
        <v>283</v>
      </c>
      <c r="P58" s="1"/>
      <c r="Q58" t="s">
        <v>30</v>
      </c>
    </row>
    <row r="59" spans="1:18">
      <c r="A59" s="1" t="s">
        <v>284</v>
      </c>
      <c r="B59" s="3">
        <v>46303</v>
      </c>
      <c r="C59" s="1" t="s">
        <v>264</v>
      </c>
      <c r="D59" s="1" t="s">
        <v>116</v>
      </c>
      <c r="E59" s="1" t="s">
        <v>22</v>
      </c>
      <c r="F59" s="1" t="s">
        <v>47</v>
      </c>
      <c r="G59" s="1" t="s">
        <v>75</v>
      </c>
      <c r="H59" s="1" t="s">
        <v>24</v>
      </c>
      <c r="I59" s="1" t="s">
        <v>285</v>
      </c>
      <c r="J59" s="1" t="s">
        <v>208</v>
      </c>
      <c r="K59" s="1" t="s">
        <v>27</v>
      </c>
      <c r="L59" s="1" t="s">
        <v>28</v>
      </c>
      <c r="M59" s="1">
        <v>49</v>
      </c>
      <c r="N59" s="1" t="s">
        <v>208</v>
      </c>
      <c r="O59" s="1" t="s">
        <v>208</v>
      </c>
      <c r="P59" s="1"/>
      <c r="Q59" t="s">
        <v>79</v>
      </c>
    </row>
    <row r="60" spans="1:18">
      <c r="A60" s="1" t="s">
        <v>286</v>
      </c>
      <c r="B60" s="3">
        <v>46303</v>
      </c>
      <c r="C60" s="1" t="s">
        <v>264</v>
      </c>
      <c r="D60" s="1" t="s">
        <v>121</v>
      </c>
      <c r="E60" s="1" t="s">
        <v>47</v>
      </c>
      <c r="F60" s="1" t="s">
        <v>122</v>
      </c>
      <c r="G60" s="1" t="s">
        <v>49</v>
      </c>
      <c r="H60" s="1" t="s">
        <v>95</v>
      </c>
      <c r="I60" s="1" t="s">
        <v>287</v>
      </c>
      <c r="J60" s="1" t="s">
        <v>288</v>
      </c>
      <c r="K60" s="1" t="s">
        <v>27</v>
      </c>
      <c r="L60" s="1" t="s">
        <v>28</v>
      </c>
      <c r="M60" s="1">
        <v>50</v>
      </c>
      <c r="N60" s="1" t="s">
        <v>212</v>
      </c>
      <c r="O60" s="1" t="s">
        <v>289</v>
      </c>
      <c r="P60" s="1"/>
      <c r="Q60" t="s">
        <v>30</v>
      </c>
    </row>
    <row r="61" spans="1:18" ht="28.5">
      <c r="A61" s="1" t="s">
        <v>290</v>
      </c>
      <c r="B61" s="3">
        <v>46303</v>
      </c>
      <c r="C61" s="1" t="s">
        <v>264</v>
      </c>
      <c r="D61" s="1" t="s">
        <v>121</v>
      </c>
      <c r="E61" s="1" t="s">
        <v>47</v>
      </c>
      <c r="F61" s="1" t="s">
        <v>122</v>
      </c>
      <c r="G61" s="1" t="s">
        <v>23</v>
      </c>
      <c r="H61" s="1" t="s">
        <v>95</v>
      </c>
      <c r="I61" s="1" t="s">
        <v>291</v>
      </c>
      <c r="J61" s="1" t="s">
        <v>278</v>
      </c>
      <c r="K61" s="1" t="s">
        <v>27</v>
      </c>
      <c r="L61" s="1" t="s">
        <v>28</v>
      </c>
      <c r="M61" s="1">
        <v>50</v>
      </c>
      <c r="N61" s="1" t="s">
        <v>212</v>
      </c>
      <c r="O61" s="1" t="s">
        <v>292</v>
      </c>
      <c r="P61" s="1"/>
      <c r="Q61" t="s">
        <v>30</v>
      </c>
    </row>
    <row r="62" spans="1:18" ht="28.5">
      <c r="A62" s="1" t="s">
        <v>293</v>
      </c>
      <c r="B62" s="3">
        <v>46303</v>
      </c>
      <c r="C62" s="1" t="s">
        <v>264</v>
      </c>
      <c r="D62" s="1" t="s">
        <v>121</v>
      </c>
      <c r="E62" s="1" t="s">
        <v>47</v>
      </c>
      <c r="F62" s="1" t="s">
        <v>122</v>
      </c>
      <c r="G62" s="1" t="s">
        <v>23</v>
      </c>
      <c r="H62" s="1" t="s">
        <v>95</v>
      </c>
      <c r="I62" s="1" t="s">
        <v>294</v>
      </c>
      <c r="J62" s="1" t="s">
        <v>295</v>
      </c>
      <c r="K62" s="1" t="s">
        <v>27</v>
      </c>
      <c r="L62" s="1" t="s">
        <v>28</v>
      </c>
      <c r="M62" s="1">
        <v>50</v>
      </c>
      <c r="N62" s="1" t="s">
        <v>212</v>
      </c>
      <c r="O62" s="1" t="s">
        <v>292</v>
      </c>
      <c r="P62" s="1"/>
      <c r="Q62" t="s">
        <v>30</v>
      </c>
    </row>
    <row r="63" spans="1:18" ht="28.5">
      <c r="A63" s="1" t="s">
        <v>296</v>
      </c>
      <c r="B63" s="3">
        <v>46303</v>
      </c>
      <c r="C63" s="1" t="s">
        <v>264</v>
      </c>
      <c r="D63" s="1" t="s">
        <v>121</v>
      </c>
      <c r="E63" s="1" t="s">
        <v>47</v>
      </c>
      <c r="F63" s="1" t="s">
        <v>122</v>
      </c>
      <c r="G63" s="1" t="s">
        <v>33</v>
      </c>
      <c r="H63" s="1" t="s">
        <v>95</v>
      </c>
      <c r="I63" s="1" t="s">
        <v>297</v>
      </c>
      <c r="J63" s="1" t="s">
        <v>298</v>
      </c>
      <c r="K63" s="1" t="s">
        <v>27</v>
      </c>
      <c r="L63" s="1" t="s">
        <v>28</v>
      </c>
      <c r="M63" s="1">
        <v>50</v>
      </c>
      <c r="N63" s="1" t="s">
        <v>212</v>
      </c>
      <c r="O63" s="1" t="s">
        <v>299</v>
      </c>
      <c r="P63" s="1"/>
      <c r="Q63" t="s">
        <v>30</v>
      </c>
    </row>
    <row r="64" spans="1:18" ht="28.5">
      <c r="A64" s="1" t="s">
        <v>300</v>
      </c>
      <c r="B64" s="3">
        <v>46303</v>
      </c>
      <c r="C64" s="1" t="s">
        <v>264</v>
      </c>
      <c r="D64" s="1" t="s">
        <v>121</v>
      </c>
      <c r="E64" s="1" t="s">
        <v>47</v>
      </c>
      <c r="F64" s="1" t="s">
        <v>122</v>
      </c>
      <c r="G64" s="1" t="s">
        <v>33</v>
      </c>
      <c r="H64" s="1" t="s">
        <v>95</v>
      </c>
      <c r="I64" s="1" t="s">
        <v>301</v>
      </c>
      <c r="J64" s="1" t="s">
        <v>282</v>
      </c>
      <c r="K64" s="1" t="s">
        <v>27</v>
      </c>
      <c r="L64" s="1" t="s">
        <v>28</v>
      </c>
      <c r="M64" s="1">
        <v>50</v>
      </c>
      <c r="N64" s="1" t="s">
        <v>212</v>
      </c>
      <c r="O64" s="1" t="s">
        <v>299</v>
      </c>
      <c r="P64" s="1"/>
      <c r="Q64" t="s">
        <v>30</v>
      </c>
    </row>
    <row r="65" spans="1:18" ht="28.5">
      <c r="A65" s="1" t="s">
        <v>302</v>
      </c>
      <c r="B65" s="3">
        <v>46303</v>
      </c>
      <c r="C65" s="1" t="s">
        <v>264</v>
      </c>
      <c r="D65" s="1" t="s">
        <v>303</v>
      </c>
      <c r="E65" s="1" t="s">
        <v>138</v>
      </c>
      <c r="F65" s="1" t="s">
        <v>143</v>
      </c>
      <c r="G65" s="1" t="s">
        <v>304</v>
      </c>
      <c r="H65" s="1" t="s">
        <v>24</v>
      </c>
      <c r="I65" s="1" t="s">
        <v>305</v>
      </c>
      <c r="J65" s="1" t="s">
        <v>91</v>
      </c>
      <c r="K65" s="1" t="s">
        <v>27</v>
      </c>
      <c r="L65" s="1" t="s">
        <v>28</v>
      </c>
      <c r="M65" s="1">
        <v>51</v>
      </c>
      <c r="N65" s="1" t="s">
        <v>91</v>
      </c>
      <c r="O65" s="1" t="s">
        <v>91</v>
      </c>
      <c r="P65" s="1" t="s">
        <v>306</v>
      </c>
      <c r="Q65" t="s">
        <v>307</v>
      </c>
      <c r="R65" t="s">
        <v>303</v>
      </c>
    </row>
    <row r="66" spans="1:18">
      <c r="A66" s="1" t="s">
        <v>308</v>
      </c>
      <c r="B66" s="3">
        <v>46303</v>
      </c>
      <c r="C66" s="1" t="s">
        <v>264</v>
      </c>
      <c r="D66" s="1" t="s">
        <v>303</v>
      </c>
      <c r="E66" s="1" t="s">
        <v>138</v>
      </c>
      <c r="F66" s="1" t="s">
        <v>143</v>
      </c>
      <c r="G66" s="1" t="s">
        <v>101</v>
      </c>
      <c r="H66" s="1" t="s">
        <v>24</v>
      </c>
      <c r="I66" s="1" t="s">
        <v>309</v>
      </c>
      <c r="J66" s="1" t="s">
        <v>310</v>
      </c>
      <c r="K66" s="1" t="s">
        <v>27</v>
      </c>
      <c r="L66" s="1" t="s">
        <v>28</v>
      </c>
      <c r="M66" s="1">
        <v>51</v>
      </c>
      <c r="N66" s="1" t="s">
        <v>91</v>
      </c>
      <c r="O66" s="1" t="s">
        <v>310</v>
      </c>
      <c r="P66" s="1"/>
      <c r="Q66" t="s">
        <v>307</v>
      </c>
      <c r="R66" t="s">
        <v>303</v>
      </c>
    </row>
    <row r="67" spans="1:18">
      <c r="A67" s="1" t="s">
        <v>311</v>
      </c>
      <c r="B67" s="3">
        <v>46303</v>
      </c>
      <c r="C67" s="1" t="s">
        <v>264</v>
      </c>
      <c r="D67" s="1" t="s">
        <v>142</v>
      </c>
      <c r="E67" s="1" t="s">
        <v>143</v>
      </c>
      <c r="F67" s="1" t="s">
        <v>144</v>
      </c>
      <c r="G67" s="1" t="s">
        <v>49</v>
      </c>
      <c r="H67" s="1" t="s">
        <v>95</v>
      </c>
      <c r="I67" s="1" t="s">
        <v>312</v>
      </c>
      <c r="J67" s="1" t="s">
        <v>288</v>
      </c>
      <c r="K67" s="1" t="s">
        <v>27</v>
      </c>
      <c r="L67" s="1" t="s">
        <v>28</v>
      </c>
      <c r="M67" s="1">
        <v>52</v>
      </c>
      <c r="N67" s="1" t="s">
        <v>232</v>
      </c>
      <c r="O67" s="1" t="s">
        <v>313</v>
      </c>
      <c r="P67" s="1"/>
      <c r="Q67" t="s">
        <v>30</v>
      </c>
    </row>
    <row r="68" spans="1:18">
      <c r="A68" s="1" t="s">
        <v>314</v>
      </c>
      <c r="B68" s="3">
        <v>46303</v>
      </c>
      <c r="C68" s="1" t="s">
        <v>264</v>
      </c>
      <c r="D68" s="1" t="s">
        <v>142</v>
      </c>
      <c r="E68" s="1" t="s">
        <v>143</v>
      </c>
      <c r="F68" s="1" t="s">
        <v>144</v>
      </c>
      <c r="G68" s="1" t="s">
        <v>49</v>
      </c>
      <c r="H68" s="1" t="s">
        <v>95</v>
      </c>
      <c r="I68" s="1" t="s">
        <v>315</v>
      </c>
      <c r="J68" s="1" t="s">
        <v>316</v>
      </c>
      <c r="K68" s="1" t="s">
        <v>27</v>
      </c>
      <c r="L68" s="1" t="s">
        <v>28</v>
      </c>
      <c r="M68" s="1">
        <v>52</v>
      </c>
      <c r="N68" s="1" t="s">
        <v>232</v>
      </c>
      <c r="O68" s="1" t="s">
        <v>313</v>
      </c>
      <c r="P68" s="1"/>
      <c r="Q68" t="s">
        <v>30</v>
      </c>
    </row>
    <row r="69" spans="1:18" ht="28.5">
      <c r="A69" s="1" t="s">
        <v>317</v>
      </c>
      <c r="B69" s="3">
        <v>46303</v>
      </c>
      <c r="C69" s="1" t="s">
        <v>264</v>
      </c>
      <c r="D69" s="1" t="s">
        <v>142</v>
      </c>
      <c r="E69" s="1" t="s">
        <v>143</v>
      </c>
      <c r="F69" s="1" t="s">
        <v>144</v>
      </c>
      <c r="G69" s="1" t="s">
        <v>23</v>
      </c>
      <c r="H69" s="1" t="s">
        <v>95</v>
      </c>
      <c r="I69" s="1" t="s">
        <v>318</v>
      </c>
      <c r="J69" s="1" t="s">
        <v>319</v>
      </c>
      <c r="K69" s="1" t="s">
        <v>27</v>
      </c>
      <c r="L69" s="1" t="s">
        <v>28</v>
      </c>
      <c r="M69" s="1">
        <v>52</v>
      </c>
      <c r="N69" s="1" t="s">
        <v>232</v>
      </c>
      <c r="O69" s="1" t="s">
        <v>320</v>
      </c>
      <c r="P69" s="1"/>
      <c r="Q69" t="s">
        <v>30</v>
      </c>
    </row>
    <row r="70" spans="1:18" ht="28.5">
      <c r="A70" s="1" t="s">
        <v>321</v>
      </c>
      <c r="B70" s="3">
        <v>46303</v>
      </c>
      <c r="C70" s="1" t="s">
        <v>264</v>
      </c>
      <c r="D70" s="1" t="s">
        <v>142</v>
      </c>
      <c r="E70" s="1" t="s">
        <v>143</v>
      </c>
      <c r="F70" s="1" t="s">
        <v>144</v>
      </c>
      <c r="G70" s="1" t="s">
        <v>23</v>
      </c>
      <c r="H70" s="1" t="s">
        <v>95</v>
      </c>
      <c r="I70" s="1" t="s">
        <v>322</v>
      </c>
      <c r="J70" s="1" t="s">
        <v>295</v>
      </c>
      <c r="K70" s="1" t="s">
        <v>27</v>
      </c>
      <c r="L70" s="1" t="s">
        <v>28</v>
      </c>
      <c r="M70" s="1">
        <v>52</v>
      </c>
      <c r="N70" s="1" t="s">
        <v>232</v>
      </c>
      <c r="O70" s="1" t="s">
        <v>320</v>
      </c>
      <c r="P70" s="1"/>
      <c r="Q70" t="s">
        <v>30</v>
      </c>
    </row>
    <row r="71" spans="1:18" ht="28.5">
      <c r="A71" s="1" t="s">
        <v>323</v>
      </c>
      <c r="B71" s="3">
        <v>46303</v>
      </c>
      <c r="C71" s="1" t="s">
        <v>264</v>
      </c>
      <c r="D71" s="1" t="s">
        <v>142</v>
      </c>
      <c r="E71" s="1" t="s">
        <v>143</v>
      </c>
      <c r="F71" s="1" t="s">
        <v>144</v>
      </c>
      <c r="G71" s="1" t="s">
        <v>33</v>
      </c>
      <c r="H71" s="1" t="s">
        <v>95</v>
      </c>
      <c r="I71" s="1" t="s">
        <v>324</v>
      </c>
      <c r="J71" s="1" t="s">
        <v>298</v>
      </c>
      <c r="K71" s="1" t="s">
        <v>27</v>
      </c>
      <c r="L71" s="1" t="s">
        <v>28</v>
      </c>
      <c r="M71" s="1">
        <v>52</v>
      </c>
      <c r="N71" s="1" t="s">
        <v>232</v>
      </c>
      <c r="O71" s="1" t="s">
        <v>325</v>
      </c>
      <c r="P71" s="1"/>
      <c r="Q71" t="s">
        <v>30</v>
      </c>
    </row>
    <row r="72" spans="1:18" ht="28.5">
      <c r="A72" s="1" t="s">
        <v>326</v>
      </c>
      <c r="B72" s="3">
        <v>46303</v>
      </c>
      <c r="C72" s="1" t="s">
        <v>264</v>
      </c>
      <c r="D72" s="1" t="s">
        <v>142</v>
      </c>
      <c r="E72" s="1" t="s">
        <v>143</v>
      </c>
      <c r="F72" s="1" t="s">
        <v>144</v>
      </c>
      <c r="G72" s="1" t="s">
        <v>33</v>
      </c>
      <c r="H72" s="1" t="s">
        <v>95</v>
      </c>
      <c r="I72" s="1" t="s">
        <v>327</v>
      </c>
      <c r="J72" s="1" t="s">
        <v>328</v>
      </c>
      <c r="K72" s="1" t="s">
        <v>27</v>
      </c>
      <c r="L72" s="1" t="s">
        <v>28</v>
      </c>
      <c r="M72" s="1">
        <v>52</v>
      </c>
      <c r="N72" s="1" t="s">
        <v>232</v>
      </c>
      <c r="O72" s="1" t="s">
        <v>325</v>
      </c>
      <c r="P72" s="1"/>
      <c r="Q72" t="s">
        <v>30</v>
      </c>
    </row>
    <row r="73" spans="1:18">
      <c r="A73" s="1" t="s">
        <v>329</v>
      </c>
      <c r="B73" s="3">
        <v>46303</v>
      </c>
      <c r="C73" s="1" t="s">
        <v>264</v>
      </c>
      <c r="D73" s="1" t="s">
        <v>163</v>
      </c>
      <c r="E73" s="1" t="s">
        <v>66</v>
      </c>
      <c r="F73" s="1" t="s">
        <v>164</v>
      </c>
      <c r="G73" s="1" t="s">
        <v>101</v>
      </c>
      <c r="H73" s="1" t="s">
        <v>24</v>
      </c>
      <c r="I73" s="1" t="s">
        <v>330</v>
      </c>
      <c r="J73" s="1" t="s">
        <v>331</v>
      </c>
      <c r="K73" s="1" t="s">
        <v>27</v>
      </c>
      <c r="L73" s="1" t="s">
        <v>28</v>
      </c>
      <c r="M73" s="1">
        <v>53</v>
      </c>
      <c r="N73" s="1" t="s">
        <v>331</v>
      </c>
      <c r="O73" s="1" t="s">
        <v>331</v>
      </c>
      <c r="P73" s="1"/>
      <c r="Q73" t="s">
        <v>30</v>
      </c>
    </row>
    <row r="74" spans="1:18">
      <c r="A74" s="1" t="s">
        <v>332</v>
      </c>
      <c r="B74" s="3">
        <v>46303</v>
      </c>
      <c r="C74" s="1" t="s">
        <v>264</v>
      </c>
      <c r="D74" s="1" t="s">
        <v>333</v>
      </c>
      <c r="E74" s="1" t="s">
        <v>73</v>
      </c>
      <c r="F74" s="1" t="s">
        <v>334</v>
      </c>
      <c r="G74" s="1" t="s">
        <v>75</v>
      </c>
      <c r="H74" s="1" t="s">
        <v>24</v>
      </c>
      <c r="I74" s="1" t="s">
        <v>335</v>
      </c>
      <c r="J74" s="1" t="s">
        <v>336</v>
      </c>
      <c r="K74" s="1" t="s">
        <v>27</v>
      </c>
      <c r="L74" s="1" t="s">
        <v>28</v>
      </c>
      <c r="M74" s="1">
        <v>57</v>
      </c>
      <c r="N74" s="1" t="s">
        <v>336</v>
      </c>
      <c r="O74" s="1" t="s">
        <v>336</v>
      </c>
      <c r="P74" s="1"/>
      <c r="Q74" t="s">
        <v>79</v>
      </c>
    </row>
    <row r="75" spans="1:18" ht="28.5">
      <c r="A75" s="1" t="s">
        <v>337</v>
      </c>
      <c r="B75" s="3">
        <v>46304</v>
      </c>
      <c r="C75" s="1" t="s">
        <v>338</v>
      </c>
      <c r="D75" s="1" t="s">
        <v>82</v>
      </c>
      <c r="E75" s="1" t="s">
        <v>21</v>
      </c>
      <c r="F75" s="1" t="s">
        <v>83</v>
      </c>
      <c r="G75" s="1" t="s">
        <v>49</v>
      </c>
      <c r="H75" s="1" t="s">
        <v>24</v>
      </c>
      <c r="I75" s="1" t="s">
        <v>339</v>
      </c>
      <c r="J75" s="1" t="s">
        <v>340</v>
      </c>
      <c r="K75" s="1" t="s">
        <v>27</v>
      </c>
      <c r="L75" s="1" t="s">
        <v>28</v>
      </c>
      <c r="M75" s="1">
        <v>64</v>
      </c>
      <c r="N75" s="1" t="s">
        <v>341</v>
      </c>
      <c r="O75" s="1" t="s">
        <v>340</v>
      </c>
      <c r="P75" s="1"/>
      <c r="Q75" t="s">
        <v>30</v>
      </c>
    </row>
    <row r="76" spans="1:18">
      <c r="A76" s="1" t="s">
        <v>342</v>
      </c>
      <c r="B76" s="3">
        <v>46304</v>
      </c>
      <c r="C76" s="1" t="s">
        <v>338</v>
      </c>
      <c r="D76" s="1" t="s">
        <v>88</v>
      </c>
      <c r="E76" s="1" t="s">
        <v>83</v>
      </c>
      <c r="F76" s="1" t="s">
        <v>89</v>
      </c>
      <c r="G76" s="1" t="s">
        <v>75</v>
      </c>
      <c r="H76" s="1" t="s">
        <v>24</v>
      </c>
      <c r="I76" s="1" t="s">
        <v>343</v>
      </c>
      <c r="J76" s="1" t="s">
        <v>91</v>
      </c>
      <c r="K76" s="1" t="s">
        <v>27</v>
      </c>
      <c r="L76" s="1" t="s">
        <v>28</v>
      </c>
      <c r="M76" s="1">
        <v>65</v>
      </c>
      <c r="N76" s="1" t="s">
        <v>91</v>
      </c>
      <c r="O76" s="1" t="s">
        <v>91</v>
      </c>
      <c r="P76" s="1"/>
      <c r="Q76" t="s">
        <v>79</v>
      </c>
    </row>
    <row r="77" spans="1:18">
      <c r="A77" s="1" t="s">
        <v>344</v>
      </c>
      <c r="B77" s="3">
        <v>46304</v>
      </c>
      <c r="C77" s="1" t="s">
        <v>338</v>
      </c>
      <c r="D77" s="1" t="s">
        <v>345</v>
      </c>
      <c r="E77" s="1" t="s">
        <v>89</v>
      </c>
      <c r="F77" s="1" t="s">
        <v>346</v>
      </c>
      <c r="G77" s="1" t="s">
        <v>49</v>
      </c>
      <c r="H77" s="1" t="s">
        <v>24</v>
      </c>
      <c r="I77" s="1" t="s">
        <v>347</v>
      </c>
      <c r="J77" s="1" t="s">
        <v>348</v>
      </c>
      <c r="K77" s="1" t="s">
        <v>27</v>
      </c>
      <c r="L77" s="1" t="s">
        <v>28</v>
      </c>
      <c r="M77" s="1">
        <v>66</v>
      </c>
      <c r="N77" s="1" t="s">
        <v>349</v>
      </c>
      <c r="O77" s="1" t="s">
        <v>348</v>
      </c>
      <c r="P77" s="1"/>
      <c r="Q77" t="s">
        <v>30</v>
      </c>
    </row>
    <row r="78" spans="1:18" ht="42.75">
      <c r="A78" s="1" t="s">
        <v>350</v>
      </c>
      <c r="B78" s="3">
        <v>46304</v>
      </c>
      <c r="C78" s="1" t="s">
        <v>338</v>
      </c>
      <c r="D78" s="1" t="s">
        <v>351</v>
      </c>
      <c r="E78" s="1" t="s">
        <v>352</v>
      </c>
      <c r="F78" s="1" t="s">
        <v>48</v>
      </c>
      <c r="G78" s="1" t="s">
        <v>49</v>
      </c>
      <c r="H78" s="1" t="s">
        <v>24</v>
      </c>
      <c r="I78" s="1" t="s">
        <v>353</v>
      </c>
      <c r="J78" s="1" t="s">
        <v>354</v>
      </c>
      <c r="K78" s="1" t="s">
        <v>27</v>
      </c>
      <c r="L78" s="1" t="s">
        <v>28</v>
      </c>
      <c r="M78" s="1">
        <v>70</v>
      </c>
      <c r="N78" s="1" t="s">
        <v>355</v>
      </c>
      <c r="O78" s="1" t="s">
        <v>354</v>
      </c>
      <c r="P78" s="1"/>
      <c r="Q78" t="s">
        <v>30</v>
      </c>
    </row>
  </sheetData>
  <dataValidations count="1">
    <dataValidation type="list" sqref="K2:K78" xr:uid="{00000000-0002-0000-0000-000000000000}">
      <formula1>"Yes,No"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8"/>
  <sheetViews>
    <sheetView topLeftCell="A2" workbookViewId="0">
      <selection activeCell="I12" sqref="I12"/>
    </sheetView>
  </sheetViews>
  <sheetFormatPr defaultRowHeight="14.25"/>
  <cols>
    <col min="1" max="2" width="12" customWidth="1"/>
    <col min="3" max="3" width="18" customWidth="1"/>
    <col min="4" max="5" width="10" customWidth="1"/>
    <col min="6" max="6" width="22" customWidth="1"/>
    <col min="7" max="7" width="44" customWidth="1"/>
    <col min="8" max="8" width="38" customWidth="1"/>
    <col min="9" max="9" width="18" customWidth="1"/>
    <col min="10" max="10" width="42" customWidth="1"/>
    <col min="11" max="11" width="16" customWidth="1"/>
    <col min="12" max="12" width="18" customWidth="1"/>
    <col min="13" max="13" width="20" customWidth="1"/>
    <col min="14" max="14" width="26" customWidth="1"/>
    <col min="15" max="15" width="42" customWidth="1"/>
    <col min="16" max="16" width="20" customWidth="1"/>
    <col min="17" max="17" width="42" customWidth="1"/>
    <col min="18" max="18" width="16" customWidth="1"/>
    <col min="19" max="19" width="42" customWidth="1"/>
    <col min="20" max="20" width="11" customWidth="1"/>
    <col min="21" max="21" width="25" customWidth="1"/>
    <col min="22" max="22" width="42" customWidth="1"/>
  </cols>
  <sheetData>
    <row r="1" spans="1:22" ht="30" customHeight="1">
      <c r="A1" s="2" t="s">
        <v>356</v>
      </c>
      <c r="B1" s="2" t="s">
        <v>1</v>
      </c>
      <c r="C1" s="2" t="s">
        <v>357</v>
      </c>
      <c r="D1" s="2" t="s">
        <v>4</v>
      </c>
      <c r="E1" s="2" t="s">
        <v>5</v>
      </c>
      <c r="F1" s="2" t="s">
        <v>6</v>
      </c>
      <c r="G1" s="2" t="s">
        <v>358</v>
      </c>
      <c r="H1" s="2" t="s">
        <v>359</v>
      </c>
      <c r="I1" s="2" t="s">
        <v>360</v>
      </c>
      <c r="J1" s="2" t="s">
        <v>361</v>
      </c>
      <c r="K1" s="2" t="s">
        <v>362</v>
      </c>
      <c r="L1" s="2" t="s">
        <v>363</v>
      </c>
      <c r="M1" s="2" t="s">
        <v>364</v>
      </c>
      <c r="N1" s="2" t="s">
        <v>365</v>
      </c>
      <c r="O1" s="2" t="s">
        <v>366</v>
      </c>
      <c r="P1" s="2" t="s">
        <v>367</v>
      </c>
      <c r="Q1" s="2" t="s">
        <v>368</v>
      </c>
      <c r="R1" s="2" t="s">
        <v>12</v>
      </c>
      <c r="S1" s="2" t="s">
        <v>14</v>
      </c>
      <c r="T1" s="2" t="s">
        <v>10</v>
      </c>
      <c r="U1" s="2" t="s">
        <v>11</v>
      </c>
      <c r="V1" s="2" t="s">
        <v>15</v>
      </c>
    </row>
    <row r="2" spans="1:22" ht="28.5">
      <c r="A2" s="1" t="s">
        <v>96</v>
      </c>
      <c r="B2" s="3">
        <v>46300</v>
      </c>
      <c r="C2" s="1" t="s">
        <v>93</v>
      </c>
      <c r="D2" s="1" t="s">
        <v>89</v>
      </c>
      <c r="E2" s="1" t="s">
        <v>94</v>
      </c>
      <c r="F2" s="1" t="s">
        <v>49</v>
      </c>
      <c r="G2" s="1" t="s">
        <v>97</v>
      </c>
      <c r="H2" s="1" t="s">
        <v>369</v>
      </c>
      <c r="I2" s="1" t="s">
        <v>370</v>
      </c>
      <c r="J2" s="1" t="s">
        <v>371</v>
      </c>
      <c r="K2" s="1">
        <v>8</v>
      </c>
      <c r="L2" s="1">
        <v>8</v>
      </c>
      <c r="M2" s="1">
        <v>8</v>
      </c>
      <c r="N2" s="1" t="s">
        <v>372</v>
      </c>
      <c r="O2" s="1" t="s">
        <v>97</v>
      </c>
      <c r="P2" s="1" t="s">
        <v>370</v>
      </c>
      <c r="Q2" s="1" t="s">
        <v>371</v>
      </c>
      <c r="R2" s="1">
        <v>16</v>
      </c>
      <c r="S2" s="1" t="s">
        <v>99</v>
      </c>
      <c r="T2" s="1" t="s">
        <v>27</v>
      </c>
      <c r="U2" s="1" t="s">
        <v>373</v>
      </c>
      <c r="V2" s="1"/>
    </row>
    <row r="3" spans="1:22" ht="28.5">
      <c r="A3" s="1" t="s">
        <v>109</v>
      </c>
      <c r="B3" s="3">
        <v>46300</v>
      </c>
      <c r="C3" s="1" t="s">
        <v>93</v>
      </c>
      <c r="D3" s="1" t="s">
        <v>89</v>
      </c>
      <c r="E3" s="1" t="s">
        <v>94</v>
      </c>
      <c r="F3" s="1" t="s">
        <v>23</v>
      </c>
      <c r="G3" s="1" t="s">
        <v>110</v>
      </c>
      <c r="H3" s="1" t="s">
        <v>374</v>
      </c>
      <c r="I3" s="1" t="s">
        <v>375</v>
      </c>
      <c r="J3" s="1"/>
      <c r="K3" s="1">
        <v>3</v>
      </c>
      <c r="L3" s="1">
        <v>3</v>
      </c>
      <c r="M3" s="1">
        <v>3</v>
      </c>
      <c r="N3" s="1" t="s">
        <v>374</v>
      </c>
      <c r="O3" s="1" t="s">
        <v>110</v>
      </c>
      <c r="P3" s="1" t="s">
        <v>375</v>
      </c>
      <c r="Q3" s="1"/>
      <c r="R3" s="1">
        <v>16</v>
      </c>
      <c r="S3" s="1" t="s">
        <v>107</v>
      </c>
      <c r="T3" s="1" t="s">
        <v>27</v>
      </c>
      <c r="U3" s="1" t="s">
        <v>373</v>
      </c>
      <c r="V3" s="1"/>
    </row>
    <row r="4" spans="1:22" ht="28.5">
      <c r="A4" s="1" t="s">
        <v>105</v>
      </c>
      <c r="B4" s="3">
        <v>46300</v>
      </c>
      <c r="C4" s="1" t="s">
        <v>93</v>
      </c>
      <c r="D4" s="1" t="s">
        <v>89</v>
      </c>
      <c r="E4" s="1" t="s">
        <v>94</v>
      </c>
      <c r="F4" s="1" t="s">
        <v>23</v>
      </c>
      <c r="G4" s="1" t="s">
        <v>106</v>
      </c>
      <c r="H4" s="1" t="s">
        <v>376</v>
      </c>
      <c r="I4" s="1" t="s">
        <v>375</v>
      </c>
      <c r="J4" s="1"/>
      <c r="K4" s="1">
        <v>5</v>
      </c>
      <c r="L4" s="1">
        <v>5</v>
      </c>
      <c r="M4" s="1">
        <v>5</v>
      </c>
      <c r="N4" s="1" t="s">
        <v>377</v>
      </c>
      <c r="O4" s="1" t="s">
        <v>106</v>
      </c>
      <c r="P4" s="1" t="s">
        <v>375</v>
      </c>
      <c r="Q4" s="1"/>
      <c r="R4" s="1">
        <v>16</v>
      </c>
      <c r="S4" s="1" t="s">
        <v>107</v>
      </c>
      <c r="T4" s="1" t="s">
        <v>27</v>
      </c>
      <c r="U4" s="1" t="s">
        <v>373</v>
      </c>
      <c r="V4" s="1"/>
    </row>
    <row r="5" spans="1:22" ht="28.5">
      <c r="A5" s="1" t="s">
        <v>112</v>
      </c>
      <c r="B5" s="3">
        <v>46300</v>
      </c>
      <c r="C5" s="1" t="s">
        <v>93</v>
      </c>
      <c r="D5" s="1" t="s">
        <v>89</v>
      </c>
      <c r="E5" s="1" t="s">
        <v>94</v>
      </c>
      <c r="F5" s="1" t="s">
        <v>33</v>
      </c>
      <c r="G5" s="1" t="s">
        <v>113</v>
      </c>
      <c r="H5" s="1" t="s">
        <v>378</v>
      </c>
      <c r="I5" s="1" t="s">
        <v>375</v>
      </c>
      <c r="J5" s="1"/>
      <c r="K5" s="1">
        <v>8</v>
      </c>
      <c r="L5" s="1">
        <v>8</v>
      </c>
      <c r="M5" s="1">
        <v>8</v>
      </c>
      <c r="N5" s="1" t="s">
        <v>379</v>
      </c>
      <c r="O5" s="1" t="s">
        <v>113</v>
      </c>
      <c r="P5" s="1" t="s">
        <v>375</v>
      </c>
      <c r="Q5" s="1"/>
      <c r="R5" s="1">
        <v>16</v>
      </c>
      <c r="S5" s="1" t="s">
        <v>114</v>
      </c>
      <c r="T5" s="1" t="s">
        <v>27</v>
      </c>
      <c r="U5" s="1" t="s">
        <v>373</v>
      </c>
      <c r="V5" s="1"/>
    </row>
    <row r="6" spans="1:22" ht="42.75">
      <c r="A6" s="1" t="s">
        <v>123</v>
      </c>
      <c r="B6" s="3">
        <v>46300</v>
      </c>
      <c r="C6" s="1" t="s">
        <v>121</v>
      </c>
      <c r="D6" s="1" t="s">
        <v>47</v>
      </c>
      <c r="E6" s="1" t="s">
        <v>122</v>
      </c>
      <c r="F6" s="1" t="s">
        <v>49</v>
      </c>
      <c r="G6" s="1" t="s">
        <v>97</v>
      </c>
      <c r="H6" s="1" t="s">
        <v>369</v>
      </c>
      <c r="I6" s="1" t="s">
        <v>370</v>
      </c>
      <c r="J6" s="1" t="s">
        <v>371</v>
      </c>
      <c r="K6" s="1">
        <v>7</v>
      </c>
      <c r="L6" s="1">
        <v>7</v>
      </c>
      <c r="M6" s="1">
        <v>8</v>
      </c>
      <c r="N6" s="1" t="s">
        <v>372</v>
      </c>
      <c r="O6" s="1" t="s">
        <v>97</v>
      </c>
      <c r="P6" s="1" t="s">
        <v>370</v>
      </c>
      <c r="Q6" s="1" t="s">
        <v>371</v>
      </c>
      <c r="R6" s="1">
        <v>18</v>
      </c>
      <c r="S6" s="1" t="s">
        <v>125</v>
      </c>
      <c r="T6" s="1" t="s">
        <v>27</v>
      </c>
      <c r="U6" s="1" t="s">
        <v>373</v>
      </c>
      <c r="V6" s="1" t="s">
        <v>380</v>
      </c>
    </row>
    <row r="7" spans="1:22" ht="28.5">
      <c r="A7" s="1" t="s">
        <v>129</v>
      </c>
      <c r="B7" s="3">
        <v>46300</v>
      </c>
      <c r="C7" s="1" t="s">
        <v>121</v>
      </c>
      <c r="D7" s="1" t="s">
        <v>47</v>
      </c>
      <c r="E7" s="1" t="s">
        <v>122</v>
      </c>
      <c r="F7" s="1" t="s">
        <v>23</v>
      </c>
      <c r="G7" s="1" t="s">
        <v>130</v>
      </c>
      <c r="H7" s="1" t="s">
        <v>381</v>
      </c>
      <c r="I7" s="1" t="s">
        <v>370</v>
      </c>
      <c r="J7" s="1" t="s">
        <v>382</v>
      </c>
      <c r="K7" s="1">
        <v>7</v>
      </c>
      <c r="L7" s="1">
        <v>7</v>
      </c>
      <c r="M7" s="1">
        <v>7</v>
      </c>
      <c r="N7" s="1" t="s">
        <v>383</v>
      </c>
      <c r="O7" s="1" t="s">
        <v>130</v>
      </c>
      <c r="P7" s="1" t="s">
        <v>370</v>
      </c>
      <c r="Q7" s="1" t="s">
        <v>382</v>
      </c>
      <c r="R7" s="1">
        <v>18</v>
      </c>
      <c r="S7" s="1" t="s">
        <v>131</v>
      </c>
      <c r="T7" s="1" t="s">
        <v>27</v>
      </c>
      <c r="U7" s="1" t="s">
        <v>373</v>
      </c>
      <c r="V7" s="1"/>
    </row>
    <row r="8" spans="1:22" ht="42.75">
      <c r="A8" s="1" t="s">
        <v>133</v>
      </c>
      <c r="B8" s="3">
        <v>46300</v>
      </c>
      <c r="C8" s="1" t="s">
        <v>121</v>
      </c>
      <c r="D8" s="1" t="s">
        <v>47</v>
      </c>
      <c r="E8" s="1" t="s">
        <v>122</v>
      </c>
      <c r="F8" s="1" t="s">
        <v>33</v>
      </c>
      <c r="G8" s="1" t="s">
        <v>134</v>
      </c>
      <c r="H8" s="1" t="s">
        <v>384</v>
      </c>
      <c r="I8" s="1" t="s">
        <v>370</v>
      </c>
      <c r="J8" s="1" t="s">
        <v>385</v>
      </c>
      <c r="K8" s="1">
        <v>7</v>
      </c>
      <c r="L8" s="1">
        <v>7</v>
      </c>
      <c r="M8" s="1">
        <v>7</v>
      </c>
      <c r="N8" s="1" t="s">
        <v>386</v>
      </c>
      <c r="O8" s="1" t="s">
        <v>134</v>
      </c>
      <c r="P8" s="1" t="s">
        <v>370</v>
      </c>
      <c r="Q8" s="1" t="s">
        <v>385</v>
      </c>
      <c r="R8" s="1">
        <v>18</v>
      </c>
      <c r="S8" s="1" t="s">
        <v>135</v>
      </c>
      <c r="T8" s="1" t="s">
        <v>27</v>
      </c>
      <c r="U8" s="1" t="s">
        <v>373</v>
      </c>
      <c r="V8" s="1"/>
    </row>
    <row r="9" spans="1:22" ht="42.75">
      <c r="A9" s="1" t="s">
        <v>145</v>
      </c>
      <c r="B9" s="3">
        <v>46300</v>
      </c>
      <c r="C9" s="1" t="s">
        <v>142</v>
      </c>
      <c r="D9" s="1" t="s">
        <v>143</v>
      </c>
      <c r="E9" s="1" t="s">
        <v>144</v>
      </c>
      <c r="F9" s="1" t="s">
        <v>49</v>
      </c>
      <c r="G9" s="1" t="s">
        <v>97</v>
      </c>
      <c r="H9" s="1" t="s">
        <v>369</v>
      </c>
      <c r="I9" s="1" t="s">
        <v>370</v>
      </c>
      <c r="J9" s="1" t="s">
        <v>371</v>
      </c>
      <c r="K9" s="1">
        <v>2</v>
      </c>
      <c r="L9" s="1">
        <v>2</v>
      </c>
      <c r="M9" s="1">
        <v>1</v>
      </c>
      <c r="N9" s="1" t="s">
        <v>372</v>
      </c>
      <c r="O9" s="1" t="s">
        <v>97</v>
      </c>
      <c r="P9" s="1" t="s">
        <v>370</v>
      </c>
      <c r="Q9" s="1" t="s">
        <v>371</v>
      </c>
      <c r="R9" s="1">
        <v>20</v>
      </c>
      <c r="S9" s="1" t="s">
        <v>147</v>
      </c>
      <c r="T9" s="1" t="s">
        <v>27</v>
      </c>
      <c r="U9" s="1" t="s">
        <v>373</v>
      </c>
      <c r="V9" s="1" t="s">
        <v>387</v>
      </c>
    </row>
    <row r="10" spans="1:22" ht="42.75">
      <c r="A10" s="1" t="s">
        <v>149</v>
      </c>
      <c r="B10" s="3">
        <v>46300</v>
      </c>
      <c r="C10" s="1" t="s">
        <v>142</v>
      </c>
      <c r="D10" s="1" t="s">
        <v>143</v>
      </c>
      <c r="E10" s="1" t="s">
        <v>144</v>
      </c>
      <c r="F10" s="1" t="s">
        <v>49</v>
      </c>
      <c r="G10" s="1" t="s">
        <v>150</v>
      </c>
      <c r="H10" s="1" t="s">
        <v>150</v>
      </c>
      <c r="I10" s="1" t="s">
        <v>370</v>
      </c>
      <c r="J10" s="1" t="s">
        <v>388</v>
      </c>
      <c r="K10" s="1">
        <v>3</v>
      </c>
      <c r="L10" s="1">
        <v>3</v>
      </c>
      <c r="M10" s="1">
        <v>3</v>
      </c>
      <c r="N10" s="1" t="s">
        <v>389</v>
      </c>
      <c r="O10" s="1" t="s">
        <v>150</v>
      </c>
      <c r="P10" s="1" t="s">
        <v>370</v>
      </c>
      <c r="Q10" s="1" t="s">
        <v>388</v>
      </c>
      <c r="R10" s="1">
        <v>20</v>
      </c>
      <c r="S10" s="1" t="s">
        <v>147</v>
      </c>
      <c r="T10" s="1" t="s">
        <v>27</v>
      </c>
      <c r="U10" s="1" t="s">
        <v>373</v>
      </c>
      <c r="V10" s="1"/>
    </row>
    <row r="11" spans="1:22" ht="42.75">
      <c r="A11" s="1" t="s">
        <v>152</v>
      </c>
      <c r="B11" s="3">
        <v>46300</v>
      </c>
      <c r="C11" s="1" t="s">
        <v>142</v>
      </c>
      <c r="D11" s="1" t="s">
        <v>143</v>
      </c>
      <c r="E11" s="1" t="s">
        <v>144</v>
      </c>
      <c r="F11" s="1" t="s">
        <v>23</v>
      </c>
      <c r="G11" s="1" t="s">
        <v>153</v>
      </c>
      <c r="H11" s="1" t="s">
        <v>390</v>
      </c>
      <c r="I11" s="1" t="s">
        <v>370</v>
      </c>
      <c r="J11" s="1" t="s">
        <v>391</v>
      </c>
      <c r="K11" s="1">
        <v>5</v>
      </c>
      <c r="L11" s="1">
        <v>5</v>
      </c>
      <c r="M11" s="1">
        <v>5</v>
      </c>
      <c r="N11" s="1" t="s">
        <v>153</v>
      </c>
      <c r="O11" s="1" t="s">
        <v>153</v>
      </c>
      <c r="P11" s="1" t="s">
        <v>370</v>
      </c>
      <c r="Q11" s="1" t="s">
        <v>391</v>
      </c>
      <c r="R11" s="1">
        <v>20</v>
      </c>
      <c r="S11" s="1" t="s">
        <v>154</v>
      </c>
      <c r="T11" s="1" t="s">
        <v>27</v>
      </c>
      <c r="U11" s="1" t="s">
        <v>373</v>
      </c>
      <c r="V11" s="1"/>
    </row>
    <row r="12" spans="1:22" ht="71.25">
      <c r="A12" s="1" t="s">
        <v>156</v>
      </c>
      <c r="B12" s="3">
        <v>46300</v>
      </c>
      <c r="C12" s="1" t="s">
        <v>142</v>
      </c>
      <c r="D12" s="1" t="s">
        <v>143</v>
      </c>
      <c r="E12" s="1" t="s">
        <v>144</v>
      </c>
      <c r="F12" s="1" t="s">
        <v>23</v>
      </c>
      <c r="G12" s="1" t="s">
        <v>157</v>
      </c>
      <c r="H12" s="1" t="s">
        <v>157</v>
      </c>
      <c r="I12" s="1"/>
      <c r="J12" s="1"/>
      <c r="K12" s="1">
        <v>2</v>
      </c>
      <c r="L12" s="1">
        <v>2</v>
      </c>
      <c r="M12" s="1">
        <v>3</v>
      </c>
      <c r="N12" s="1"/>
      <c r="O12" s="1"/>
      <c r="P12" s="1"/>
      <c r="Q12" s="1"/>
      <c r="R12" s="1">
        <v>20</v>
      </c>
      <c r="S12" s="1" t="s">
        <v>154</v>
      </c>
      <c r="T12" s="1" t="s">
        <v>27</v>
      </c>
      <c r="U12" s="1" t="s">
        <v>373</v>
      </c>
      <c r="V12" s="1" t="s">
        <v>392</v>
      </c>
    </row>
    <row r="13" spans="1:22" ht="28.5">
      <c r="A13" s="1" t="s">
        <v>159</v>
      </c>
      <c r="B13" s="3">
        <v>46300</v>
      </c>
      <c r="C13" s="1" t="s">
        <v>142</v>
      </c>
      <c r="D13" s="1" t="s">
        <v>143</v>
      </c>
      <c r="E13" s="1" t="s">
        <v>144</v>
      </c>
      <c r="F13" s="1" t="s">
        <v>33</v>
      </c>
      <c r="G13" s="1" t="s">
        <v>160</v>
      </c>
      <c r="H13" s="1" t="s">
        <v>393</v>
      </c>
      <c r="I13" s="1" t="s">
        <v>370</v>
      </c>
      <c r="J13" s="1" t="s">
        <v>394</v>
      </c>
      <c r="K13" s="1">
        <v>8</v>
      </c>
      <c r="L13" s="1">
        <v>8</v>
      </c>
      <c r="M13" s="1">
        <v>8</v>
      </c>
      <c r="N13" s="1" t="s">
        <v>395</v>
      </c>
      <c r="O13" s="1" t="s">
        <v>160</v>
      </c>
      <c r="P13" s="1" t="s">
        <v>370</v>
      </c>
      <c r="Q13" s="1" t="s">
        <v>394</v>
      </c>
      <c r="R13" s="1">
        <v>20</v>
      </c>
      <c r="S13" s="1" t="s">
        <v>161</v>
      </c>
      <c r="T13" s="1" t="s">
        <v>27</v>
      </c>
      <c r="U13" s="1" t="s">
        <v>373</v>
      </c>
      <c r="V13" s="1"/>
    </row>
    <row r="14" spans="1:22" ht="28.5">
      <c r="A14" s="1" t="s">
        <v>192</v>
      </c>
      <c r="B14" s="3">
        <v>46301</v>
      </c>
      <c r="C14" s="1" t="s">
        <v>93</v>
      </c>
      <c r="D14" s="1" t="s">
        <v>89</v>
      </c>
      <c r="E14" s="1" t="s">
        <v>94</v>
      </c>
      <c r="F14" s="1" t="s">
        <v>49</v>
      </c>
      <c r="G14" s="1" t="s">
        <v>193</v>
      </c>
      <c r="H14" s="1" t="s">
        <v>193</v>
      </c>
      <c r="I14" s="1" t="s">
        <v>370</v>
      </c>
      <c r="J14" s="1" t="s">
        <v>396</v>
      </c>
      <c r="K14" s="1">
        <v>8</v>
      </c>
      <c r="L14" s="1">
        <v>8</v>
      </c>
      <c r="M14" s="1">
        <v>8</v>
      </c>
      <c r="N14" s="1" t="s">
        <v>397</v>
      </c>
      <c r="O14" s="1" t="s">
        <v>193</v>
      </c>
      <c r="P14" s="1" t="s">
        <v>370</v>
      </c>
      <c r="Q14" s="1" t="s">
        <v>396</v>
      </c>
      <c r="R14" s="1">
        <v>30</v>
      </c>
      <c r="S14" s="1" t="s">
        <v>194</v>
      </c>
      <c r="T14" s="1" t="s">
        <v>27</v>
      </c>
      <c r="U14" s="1" t="s">
        <v>373</v>
      </c>
      <c r="V14" s="1"/>
    </row>
    <row r="15" spans="1:22" ht="28.5">
      <c r="A15" s="1" t="s">
        <v>198</v>
      </c>
      <c r="B15" s="3">
        <v>46301</v>
      </c>
      <c r="C15" s="1" t="s">
        <v>93</v>
      </c>
      <c r="D15" s="1" t="s">
        <v>89</v>
      </c>
      <c r="E15" s="1" t="s">
        <v>94</v>
      </c>
      <c r="F15" s="1" t="s">
        <v>23</v>
      </c>
      <c r="G15" s="1" t="s">
        <v>150</v>
      </c>
      <c r="H15" s="1" t="s">
        <v>150</v>
      </c>
      <c r="I15" s="1" t="s">
        <v>370</v>
      </c>
      <c r="J15" s="1" t="s">
        <v>388</v>
      </c>
      <c r="K15" s="1">
        <v>8</v>
      </c>
      <c r="L15" s="1">
        <v>8</v>
      </c>
      <c r="M15" s="1">
        <v>8</v>
      </c>
      <c r="N15" s="1" t="s">
        <v>398</v>
      </c>
      <c r="O15" s="1" t="s">
        <v>150</v>
      </c>
      <c r="P15" s="1" t="s">
        <v>370</v>
      </c>
      <c r="Q15" s="1" t="s">
        <v>388</v>
      </c>
      <c r="R15" s="1">
        <v>30</v>
      </c>
      <c r="S15" s="1" t="s">
        <v>199</v>
      </c>
      <c r="T15" s="1" t="s">
        <v>27</v>
      </c>
      <c r="U15" s="1" t="s">
        <v>373</v>
      </c>
      <c r="V15" s="1"/>
    </row>
    <row r="16" spans="1:22" ht="28.5">
      <c r="A16" s="1" t="s">
        <v>205</v>
      </c>
      <c r="B16" s="3">
        <v>46301</v>
      </c>
      <c r="C16" s="1" t="s">
        <v>93</v>
      </c>
      <c r="D16" s="1" t="s">
        <v>89</v>
      </c>
      <c r="E16" s="1" t="s">
        <v>94</v>
      </c>
      <c r="F16" s="1" t="s">
        <v>33</v>
      </c>
      <c r="G16" s="1" t="s">
        <v>160</v>
      </c>
      <c r="H16" s="1" t="s">
        <v>393</v>
      </c>
      <c r="I16" s="1" t="s">
        <v>370</v>
      </c>
      <c r="J16" s="1" t="s">
        <v>394</v>
      </c>
      <c r="K16" s="1">
        <v>2</v>
      </c>
      <c r="L16" s="1">
        <v>2</v>
      </c>
      <c r="M16" s="1">
        <v>2</v>
      </c>
      <c r="N16" s="1" t="s">
        <v>399</v>
      </c>
      <c r="O16" s="1" t="s">
        <v>160</v>
      </c>
      <c r="P16" s="1" t="s">
        <v>370</v>
      </c>
      <c r="Q16" s="1" t="s">
        <v>394</v>
      </c>
      <c r="R16" s="1">
        <v>30</v>
      </c>
      <c r="S16" s="1" t="s">
        <v>203</v>
      </c>
      <c r="T16" s="1" t="s">
        <v>27</v>
      </c>
      <c r="U16" s="1" t="s">
        <v>373</v>
      </c>
      <c r="V16" s="1"/>
    </row>
    <row r="17" spans="1:22" ht="28.5">
      <c r="A17" s="1" t="s">
        <v>201</v>
      </c>
      <c r="B17" s="3">
        <v>46301</v>
      </c>
      <c r="C17" s="1" t="s">
        <v>93</v>
      </c>
      <c r="D17" s="1" t="s">
        <v>89</v>
      </c>
      <c r="E17" s="1" t="s">
        <v>94</v>
      </c>
      <c r="F17" s="1" t="s">
        <v>33</v>
      </c>
      <c r="G17" s="1" t="s">
        <v>202</v>
      </c>
      <c r="H17" s="1" t="s">
        <v>202</v>
      </c>
      <c r="I17" s="1" t="s">
        <v>375</v>
      </c>
      <c r="J17" s="1"/>
      <c r="K17" s="1">
        <v>4</v>
      </c>
      <c r="L17" s="1">
        <v>4</v>
      </c>
      <c r="M17" s="1">
        <v>4</v>
      </c>
      <c r="N17" s="1" t="s">
        <v>202</v>
      </c>
      <c r="O17" s="1" t="s">
        <v>202</v>
      </c>
      <c r="P17" s="1" t="s">
        <v>375</v>
      </c>
      <c r="Q17" s="1"/>
      <c r="R17" s="1">
        <v>30</v>
      </c>
      <c r="S17" s="1" t="s">
        <v>203</v>
      </c>
      <c r="T17" s="1" t="s">
        <v>27</v>
      </c>
      <c r="U17" s="1" t="s">
        <v>373</v>
      </c>
      <c r="V17" s="1"/>
    </row>
    <row r="18" spans="1:22" ht="42.75">
      <c r="A18" s="1" t="s">
        <v>215</v>
      </c>
      <c r="B18" s="3">
        <v>46301</v>
      </c>
      <c r="C18" s="1" t="s">
        <v>121</v>
      </c>
      <c r="D18" s="1" t="s">
        <v>47</v>
      </c>
      <c r="E18" s="1" t="s">
        <v>122</v>
      </c>
      <c r="F18" s="1" t="s">
        <v>49</v>
      </c>
      <c r="G18" s="1" t="s">
        <v>193</v>
      </c>
      <c r="H18" s="1" t="s">
        <v>193</v>
      </c>
      <c r="I18" s="1" t="s">
        <v>370</v>
      </c>
      <c r="J18" s="1" t="s">
        <v>396</v>
      </c>
      <c r="K18" s="1">
        <v>5</v>
      </c>
      <c r="L18" s="1">
        <v>5</v>
      </c>
      <c r="M18" s="1">
        <v>5</v>
      </c>
      <c r="N18" s="1" t="s">
        <v>397</v>
      </c>
      <c r="O18" s="1" t="s">
        <v>193</v>
      </c>
      <c r="P18" s="1" t="s">
        <v>370</v>
      </c>
      <c r="Q18" s="1" t="s">
        <v>396</v>
      </c>
      <c r="R18" s="1">
        <v>32</v>
      </c>
      <c r="S18" s="1" t="s">
        <v>213</v>
      </c>
      <c r="T18" s="1" t="s">
        <v>27</v>
      </c>
      <c r="U18" s="1" t="s">
        <v>373</v>
      </c>
      <c r="V18" s="1"/>
    </row>
    <row r="19" spans="1:22" ht="42.75">
      <c r="A19" s="1" t="s">
        <v>210</v>
      </c>
      <c r="B19" s="3">
        <v>46301</v>
      </c>
      <c r="C19" s="1" t="s">
        <v>121</v>
      </c>
      <c r="D19" s="1" t="s">
        <v>47</v>
      </c>
      <c r="E19" s="1" t="s">
        <v>122</v>
      </c>
      <c r="F19" s="1" t="s">
        <v>49</v>
      </c>
      <c r="G19" s="1" t="s">
        <v>211</v>
      </c>
      <c r="H19" s="1" t="s">
        <v>400</v>
      </c>
      <c r="I19" s="1" t="s">
        <v>370</v>
      </c>
      <c r="J19" s="1" t="s">
        <v>401</v>
      </c>
      <c r="K19" s="1">
        <v>2</v>
      </c>
      <c r="L19" s="1">
        <v>2</v>
      </c>
      <c r="M19" s="1">
        <v>2</v>
      </c>
      <c r="N19" s="1" t="s">
        <v>402</v>
      </c>
      <c r="O19" s="1" t="s">
        <v>211</v>
      </c>
      <c r="P19" s="1" t="s">
        <v>370</v>
      </c>
      <c r="Q19" s="1" t="s">
        <v>401</v>
      </c>
      <c r="R19" s="1">
        <v>32</v>
      </c>
      <c r="S19" s="1" t="s">
        <v>213</v>
      </c>
      <c r="T19" s="1" t="s">
        <v>27</v>
      </c>
      <c r="U19" s="1" t="s">
        <v>373</v>
      </c>
      <c r="V19" s="1"/>
    </row>
    <row r="20" spans="1:22" ht="42.75">
      <c r="A20" s="1" t="s">
        <v>219</v>
      </c>
      <c r="B20" s="3">
        <v>46301</v>
      </c>
      <c r="C20" s="1" t="s">
        <v>121</v>
      </c>
      <c r="D20" s="1" t="s">
        <v>47</v>
      </c>
      <c r="E20" s="1" t="s">
        <v>122</v>
      </c>
      <c r="F20" s="1" t="s">
        <v>23</v>
      </c>
      <c r="G20" s="1" t="s">
        <v>220</v>
      </c>
      <c r="H20" s="1" t="s">
        <v>251</v>
      </c>
      <c r="I20" s="1" t="s">
        <v>370</v>
      </c>
      <c r="J20" s="1" t="s">
        <v>403</v>
      </c>
      <c r="K20" s="1">
        <v>7</v>
      </c>
      <c r="L20" s="1">
        <v>7</v>
      </c>
      <c r="M20" s="1">
        <v>7</v>
      </c>
      <c r="N20" s="1" t="s">
        <v>220</v>
      </c>
      <c r="O20" s="1" t="s">
        <v>220</v>
      </c>
      <c r="P20" s="1" t="s">
        <v>370</v>
      </c>
      <c r="Q20" s="1" t="s">
        <v>403</v>
      </c>
      <c r="R20" s="1">
        <v>32</v>
      </c>
      <c r="S20" s="1" t="s">
        <v>221</v>
      </c>
      <c r="T20" s="1" t="s">
        <v>27</v>
      </c>
      <c r="U20" s="1" t="s">
        <v>373</v>
      </c>
      <c r="V20" s="1"/>
    </row>
    <row r="21" spans="1:22" ht="28.5">
      <c r="A21" s="1" t="s">
        <v>223</v>
      </c>
      <c r="B21" s="3">
        <v>46301</v>
      </c>
      <c r="C21" s="1" t="s">
        <v>121</v>
      </c>
      <c r="D21" s="1" t="s">
        <v>47</v>
      </c>
      <c r="E21" s="1" t="s">
        <v>122</v>
      </c>
      <c r="F21" s="1" t="s">
        <v>33</v>
      </c>
      <c r="G21" s="1" t="s">
        <v>202</v>
      </c>
      <c r="H21" s="1" t="s">
        <v>202</v>
      </c>
      <c r="I21" s="1" t="s">
        <v>375</v>
      </c>
      <c r="J21" s="1"/>
      <c r="K21" s="1">
        <v>6</v>
      </c>
      <c r="L21" s="1">
        <v>6</v>
      </c>
      <c r="M21" s="1">
        <v>6</v>
      </c>
      <c r="N21" s="1" t="s">
        <v>202</v>
      </c>
      <c r="O21" s="1" t="s">
        <v>202</v>
      </c>
      <c r="P21" s="1" t="s">
        <v>375</v>
      </c>
      <c r="Q21" s="1"/>
      <c r="R21" s="1">
        <v>32</v>
      </c>
      <c r="S21" s="1" t="s">
        <v>224</v>
      </c>
      <c r="T21" s="1" t="s">
        <v>27</v>
      </c>
      <c r="U21" s="1" t="s">
        <v>373</v>
      </c>
      <c r="V21" s="1"/>
    </row>
    <row r="22" spans="1:22" ht="28.5">
      <c r="A22" s="1" t="s">
        <v>238</v>
      </c>
      <c r="B22" s="3">
        <v>46301</v>
      </c>
      <c r="C22" s="1" t="s">
        <v>142</v>
      </c>
      <c r="D22" s="1" t="s">
        <v>143</v>
      </c>
      <c r="E22" s="1" t="s">
        <v>144</v>
      </c>
      <c r="F22" s="1" t="s">
        <v>49</v>
      </c>
      <c r="G22" s="1" t="s">
        <v>211</v>
      </c>
      <c r="H22" s="1" t="s">
        <v>211</v>
      </c>
      <c r="I22" s="1" t="s">
        <v>370</v>
      </c>
      <c r="J22" s="1" t="s">
        <v>401</v>
      </c>
      <c r="K22" s="1">
        <v>8</v>
      </c>
      <c r="L22" s="1">
        <v>8</v>
      </c>
      <c r="M22" s="1">
        <v>8</v>
      </c>
      <c r="N22" s="1" t="s">
        <v>402</v>
      </c>
      <c r="O22" s="1" t="s">
        <v>211</v>
      </c>
      <c r="P22" s="1" t="s">
        <v>370</v>
      </c>
      <c r="Q22" s="1" t="s">
        <v>401</v>
      </c>
      <c r="R22" s="1">
        <v>34</v>
      </c>
      <c r="S22" s="1" t="s">
        <v>239</v>
      </c>
      <c r="T22" s="1" t="s">
        <v>27</v>
      </c>
      <c r="U22" s="1" t="s">
        <v>373</v>
      </c>
      <c r="V22" s="1"/>
    </row>
    <row r="23" spans="1:22" ht="28.5">
      <c r="A23" s="1" t="s">
        <v>244</v>
      </c>
      <c r="B23" s="3">
        <v>46301</v>
      </c>
      <c r="C23" s="1" t="s">
        <v>142</v>
      </c>
      <c r="D23" s="1" t="s">
        <v>143</v>
      </c>
      <c r="E23" s="1" t="s">
        <v>144</v>
      </c>
      <c r="F23" s="1" t="s">
        <v>33</v>
      </c>
      <c r="G23" s="1" t="s">
        <v>245</v>
      </c>
      <c r="H23" s="1" t="s">
        <v>404</v>
      </c>
      <c r="I23" s="1" t="s">
        <v>370</v>
      </c>
      <c r="J23" s="1" t="s">
        <v>405</v>
      </c>
      <c r="K23" s="1">
        <v>6</v>
      </c>
      <c r="L23" s="1">
        <v>6</v>
      </c>
      <c r="M23" s="1">
        <v>6</v>
      </c>
      <c r="N23" s="1" t="s">
        <v>406</v>
      </c>
      <c r="O23" s="1" t="s">
        <v>245</v>
      </c>
      <c r="P23" s="1" t="s">
        <v>370</v>
      </c>
      <c r="Q23" s="1" t="s">
        <v>405</v>
      </c>
      <c r="R23" s="1">
        <v>34</v>
      </c>
      <c r="S23" s="1" t="s">
        <v>246</v>
      </c>
      <c r="T23" s="1" t="s">
        <v>27</v>
      </c>
      <c r="U23" s="1" t="s">
        <v>373</v>
      </c>
      <c r="V23" s="1"/>
    </row>
    <row r="24" spans="1:22" ht="28.5">
      <c r="A24" s="1" t="s">
        <v>271</v>
      </c>
      <c r="B24" s="3">
        <v>46303</v>
      </c>
      <c r="C24" s="1" t="s">
        <v>93</v>
      </c>
      <c r="D24" s="1" t="s">
        <v>89</v>
      </c>
      <c r="E24" s="1" t="s">
        <v>94</v>
      </c>
      <c r="F24" s="1" t="s">
        <v>49</v>
      </c>
      <c r="G24" s="1" t="s">
        <v>272</v>
      </c>
      <c r="H24" s="1" t="s">
        <v>407</v>
      </c>
      <c r="I24" s="1" t="s">
        <v>370</v>
      </c>
      <c r="J24" s="1" t="s">
        <v>408</v>
      </c>
      <c r="K24" s="1">
        <v>8</v>
      </c>
      <c r="L24" s="1">
        <v>8</v>
      </c>
      <c r="M24" s="1">
        <v>8</v>
      </c>
      <c r="N24" s="1" t="s">
        <v>407</v>
      </c>
      <c r="O24" s="1" t="s">
        <v>272</v>
      </c>
      <c r="P24" s="1" t="s">
        <v>370</v>
      </c>
      <c r="Q24" s="1" t="s">
        <v>408</v>
      </c>
      <c r="R24" s="1">
        <v>48</v>
      </c>
      <c r="S24" s="1" t="s">
        <v>273</v>
      </c>
      <c r="T24" s="1" t="s">
        <v>27</v>
      </c>
      <c r="U24" s="1" t="s">
        <v>373</v>
      </c>
      <c r="V24" s="1"/>
    </row>
    <row r="25" spans="1:22" ht="28.5">
      <c r="A25" s="1" t="s">
        <v>277</v>
      </c>
      <c r="B25" s="3">
        <v>46303</v>
      </c>
      <c r="C25" s="1" t="s">
        <v>93</v>
      </c>
      <c r="D25" s="1" t="s">
        <v>89</v>
      </c>
      <c r="E25" s="1" t="s">
        <v>94</v>
      </c>
      <c r="F25" s="1" t="s">
        <v>23</v>
      </c>
      <c r="G25" s="1" t="s">
        <v>278</v>
      </c>
      <c r="H25" s="1" t="s">
        <v>278</v>
      </c>
      <c r="I25" s="1" t="s">
        <v>370</v>
      </c>
      <c r="J25" s="1" t="s">
        <v>409</v>
      </c>
      <c r="K25" s="1">
        <v>8</v>
      </c>
      <c r="L25" s="1">
        <v>8</v>
      </c>
      <c r="M25" s="1">
        <v>8</v>
      </c>
      <c r="N25" s="1" t="s">
        <v>410</v>
      </c>
      <c r="O25" s="1" t="s">
        <v>278</v>
      </c>
      <c r="P25" s="1" t="s">
        <v>370</v>
      </c>
      <c r="Q25" s="1" t="s">
        <v>409</v>
      </c>
      <c r="R25" s="1">
        <v>48</v>
      </c>
      <c r="S25" s="1" t="s">
        <v>279</v>
      </c>
      <c r="T25" s="1" t="s">
        <v>27</v>
      </c>
      <c r="U25" s="1" t="s">
        <v>373</v>
      </c>
      <c r="V25" s="1"/>
    </row>
    <row r="26" spans="1:22" ht="28.5">
      <c r="A26" s="1" t="s">
        <v>281</v>
      </c>
      <c r="B26" s="3">
        <v>46303</v>
      </c>
      <c r="C26" s="1" t="s">
        <v>93</v>
      </c>
      <c r="D26" s="1" t="s">
        <v>89</v>
      </c>
      <c r="E26" s="1" t="s">
        <v>94</v>
      </c>
      <c r="F26" s="1" t="s">
        <v>33</v>
      </c>
      <c r="G26" s="1" t="s">
        <v>282</v>
      </c>
      <c r="H26" s="1" t="s">
        <v>411</v>
      </c>
      <c r="I26" s="1" t="s">
        <v>370</v>
      </c>
      <c r="J26" s="1" t="s">
        <v>412</v>
      </c>
      <c r="K26" s="1">
        <v>8</v>
      </c>
      <c r="L26" s="1">
        <v>8</v>
      </c>
      <c r="M26" s="1">
        <v>8</v>
      </c>
      <c r="N26" s="1" t="s">
        <v>413</v>
      </c>
      <c r="O26" s="1" t="s">
        <v>282</v>
      </c>
      <c r="P26" s="1" t="s">
        <v>370</v>
      </c>
      <c r="Q26" s="1" t="s">
        <v>412</v>
      </c>
      <c r="R26" s="1">
        <v>48</v>
      </c>
      <c r="S26" s="1" t="s">
        <v>283</v>
      </c>
      <c r="T26" s="1" t="s">
        <v>27</v>
      </c>
      <c r="U26" s="1" t="s">
        <v>373</v>
      </c>
      <c r="V26" s="1"/>
    </row>
    <row r="27" spans="1:22" ht="28.5">
      <c r="A27" s="1" t="s">
        <v>287</v>
      </c>
      <c r="B27" s="3">
        <v>46303</v>
      </c>
      <c r="C27" s="1" t="s">
        <v>121</v>
      </c>
      <c r="D27" s="1" t="s">
        <v>47</v>
      </c>
      <c r="E27" s="1" t="s">
        <v>122</v>
      </c>
      <c r="F27" s="1" t="s">
        <v>49</v>
      </c>
      <c r="G27" s="1" t="s">
        <v>288</v>
      </c>
      <c r="H27" s="1" t="s">
        <v>288</v>
      </c>
      <c r="I27" s="1" t="s">
        <v>375</v>
      </c>
      <c r="J27" s="1"/>
      <c r="K27" s="1">
        <v>7</v>
      </c>
      <c r="L27" s="1">
        <v>7</v>
      </c>
      <c r="M27" s="1">
        <v>7</v>
      </c>
      <c r="N27" s="1" t="s">
        <v>414</v>
      </c>
      <c r="O27" s="1" t="s">
        <v>288</v>
      </c>
      <c r="P27" s="1" t="s">
        <v>375</v>
      </c>
      <c r="Q27" s="1"/>
      <c r="R27" s="1">
        <v>50</v>
      </c>
      <c r="S27" s="1" t="s">
        <v>289</v>
      </c>
      <c r="T27" s="1" t="s">
        <v>27</v>
      </c>
      <c r="U27" s="1" t="s">
        <v>373</v>
      </c>
      <c r="V27" s="1"/>
    </row>
    <row r="28" spans="1:22" ht="28.5">
      <c r="A28" s="1" t="s">
        <v>291</v>
      </c>
      <c r="B28" s="3">
        <v>46303</v>
      </c>
      <c r="C28" s="1" t="s">
        <v>121</v>
      </c>
      <c r="D28" s="1" t="s">
        <v>47</v>
      </c>
      <c r="E28" s="1" t="s">
        <v>122</v>
      </c>
      <c r="F28" s="1" t="s">
        <v>23</v>
      </c>
      <c r="G28" s="1" t="s">
        <v>278</v>
      </c>
      <c r="H28" s="1" t="s">
        <v>278</v>
      </c>
      <c r="I28" s="1" t="s">
        <v>370</v>
      </c>
      <c r="J28" s="1" t="s">
        <v>409</v>
      </c>
      <c r="K28" s="1">
        <v>4</v>
      </c>
      <c r="L28" s="1">
        <v>4</v>
      </c>
      <c r="M28" s="1">
        <v>4</v>
      </c>
      <c r="N28" s="1" t="s">
        <v>410</v>
      </c>
      <c r="O28" s="1" t="s">
        <v>278</v>
      </c>
      <c r="P28" s="1" t="s">
        <v>370</v>
      </c>
      <c r="Q28" s="1" t="s">
        <v>409</v>
      </c>
      <c r="R28" s="1">
        <v>50</v>
      </c>
      <c r="S28" s="1" t="s">
        <v>292</v>
      </c>
      <c r="T28" s="1" t="s">
        <v>27</v>
      </c>
      <c r="U28" s="1" t="s">
        <v>373</v>
      </c>
      <c r="V28" s="1"/>
    </row>
    <row r="29" spans="1:22" ht="28.5">
      <c r="A29" s="1" t="s">
        <v>294</v>
      </c>
      <c r="B29" s="3">
        <v>46303</v>
      </c>
      <c r="C29" s="1" t="s">
        <v>121</v>
      </c>
      <c r="D29" s="1" t="s">
        <v>47</v>
      </c>
      <c r="E29" s="1" t="s">
        <v>122</v>
      </c>
      <c r="F29" s="1" t="s">
        <v>23</v>
      </c>
      <c r="G29" s="1" t="s">
        <v>295</v>
      </c>
      <c r="H29" s="1" t="s">
        <v>295</v>
      </c>
      <c r="I29" s="1" t="s">
        <v>370</v>
      </c>
      <c r="J29" s="1" t="s">
        <v>415</v>
      </c>
      <c r="K29" s="1">
        <v>4</v>
      </c>
      <c r="L29" s="1">
        <v>4</v>
      </c>
      <c r="M29" s="1">
        <v>4</v>
      </c>
      <c r="N29" s="1" t="s">
        <v>416</v>
      </c>
      <c r="O29" s="1" t="s">
        <v>295</v>
      </c>
      <c r="P29" s="1" t="s">
        <v>370</v>
      </c>
      <c r="Q29" s="1" t="s">
        <v>415</v>
      </c>
      <c r="R29" s="1">
        <v>50</v>
      </c>
      <c r="S29" s="1" t="s">
        <v>292</v>
      </c>
      <c r="T29" s="1" t="s">
        <v>27</v>
      </c>
      <c r="U29" s="1" t="s">
        <v>373</v>
      </c>
      <c r="V29" s="1"/>
    </row>
    <row r="30" spans="1:22" ht="28.5">
      <c r="A30" s="1" t="s">
        <v>301</v>
      </c>
      <c r="B30" s="3">
        <v>46303</v>
      </c>
      <c r="C30" s="1" t="s">
        <v>121</v>
      </c>
      <c r="D30" s="1" t="s">
        <v>47</v>
      </c>
      <c r="E30" s="1" t="s">
        <v>122</v>
      </c>
      <c r="F30" s="1" t="s">
        <v>33</v>
      </c>
      <c r="G30" s="1" t="s">
        <v>282</v>
      </c>
      <c r="H30" s="1" t="s">
        <v>411</v>
      </c>
      <c r="I30" s="1" t="s">
        <v>370</v>
      </c>
      <c r="J30" s="1" t="s">
        <v>412</v>
      </c>
      <c r="K30" s="1">
        <v>5</v>
      </c>
      <c r="L30" s="1">
        <v>5</v>
      </c>
      <c r="M30" s="1">
        <v>5</v>
      </c>
      <c r="N30" s="1" t="s">
        <v>413</v>
      </c>
      <c r="O30" s="1" t="s">
        <v>282</v>
      </c>
      <c r="P30" s="1" t="s">
        <v>370</v>
      </c>
      <c r="Q30" s="1" t="s">
        <v>412</v>
      </c>
      <c r="R30" s="1">
        <v>50</v>
      </c>
      <c r="S30" s="1" t="s">
        <v>299</v>
      </c>
      <c r="T30" s="1" t="s">
        <v>27</v>
      </c>
      <c r="U30" s="1" t="s">
        <v>373</v>
      </c>
      <c r="V30" s="1"/>
    </row>
    <row r="31" spans="1:22" ht="28.5">
      <c r="A31" s="1" t="s">
        <v>297</v>
      </c>
      <c r="B31" s="3">
        <v>46303</v>
      </c>
      <c r="C31" s="1" t="s">
        <v>121</v>
      </c>
      <c r="D31" s="1" t="s">
        <v>47</v>
      </c>
      <c r="E31" s="1" t="s">
        <v>122</v>
      </c>
      <c r="F31" s="1" t="s">
        <v>33</v>
      </c>
      <c r="G31" s="1" t="s">
        <v>298</v>
      </c>
      <c r="H31" s="1" t="s">
        <v>298</v>
      </c>
      <c r="I31" s="1" t="s">
        <v>375</v>
      </c>
      <c r="J31" s="1"/>
      <c r="K31" s="1">
        <v>1</v>
      </c>
      <c r="L31" s="1">
        <v>1</v>
      </c>
      <c r="M31" s="1">
        <v>1</v>
      </c>
      <c r="N31" s="1" t="s">
        <v>417</v>
      </c>
      <c r="O31" s="1" t="s">
        <v>298</v>
      </c>
      <c r="P31" s="1" t="s">
        <v>375</v>
      </c>
      <c r="Q31" s="1"/>
      <c r="R31" s="1">
        <v>50</v>
      </c>
      <c r="S31" s="1" t="s">
        <v>299</v>
      </c>
      <c r="T31" s="1" t="s">
        <v>27</v>
      </c>
      <c r="U31" s="1" t="s">
        <v>373</v>
      </c>
      <c r="V31" s="1"/>
    </row>
    <row r="32" spans="1:22" ht="28.5">
      <c r="A32" s="1" t="s">
        <v>312</v>
      </c>
      <c r="B32" s="3">
        <v>46303</v>
      </c>
      <c r="C32" s="1" t="s">
        <v>142</v>
      </c>
      <c r="D32" s="1" t="s">
        <v>143</v>
      </c>
      <c r="E32" s="1" t="s">
        <v>144</v>
      </c>
      <c r="F32" s="1" t="s">
        <v>49</v>
      </c>
      <c r="G32" s="1" t="s">
        <v>288</v>
      </c>
      <c r="H32" s="1" t="s">
        <v>418</v>
      </c>
      <c r="I32" s="1" t="s">
        <v>375</v>
      </c>
      <c r="J32" s="1"/>
      <c r="K32" s="1">
        <v>3</v>
      </c>
      <c r="L32" s="1">
        <v>3</v>
      </c>
      <c r="M32" s="1">
        <v>3</v>
      </c>
      <c r="N32" s="1" t="s">
        <v>414</v>
      </c>
      <c r="O32" s="1" t="s">
        <v>288</v>
      </c>
      <c r="P32" s="1" t="s">
        <v>375</v>
      </c>
      <c r="Q32" s="1"/>
      <c r="R32" s="1">
        <v>52</v>
      </c>
      <c r="S32" s="1" t="s">
        <v>313</v>
      </c>
      <c r="T32" s="1" t="s">
        <v>27</v>
      </c>
      <c r="U32" s="1" t="s">
        <v>373</v>
      </c>
      <c r="V32" s="1"/>
    </row>
    <row r="33" spans="1:22" ht="28.5">
      <c r="A33" s="1" t="s">
        <v>315</v>
      </c>
      <c r="B33" s="3">
        <v>46303</v>
      </c>
      <c r="C33" s="1" t="s">
        <v>142</v>
      </c>
      <c r="D33" s="1" t="s">
        <v>143</v>
      </c>
      <c r="E33" s="1" t="s">
        <v>144</v>
      </c>
      <c r="F33" s="1" t="s">
        <v>49</v>
      </c>
      <c r="G33" s="1" t="s">
        <v>316</v>
      </c>
      <c r="H33" s="1" t="s">
        <v>316</v>
      </c>
      <c r="I33" s="1" t="s">
        <v>375</v>
      </c>
      <c r="J33" s="1"/>
      <c r="K33" s="1">
        <v>3</v>
      </c>
      <c r="L33" s="1">
        <v>2</v>
      </c>
      <c r="M33" s="1">
        <v>3</v>
      </c>
      <c r="N33" s="1" t="s">
        <v>419</v>
      </c>
      <c r="O33" s="1" t="s">
        <v>316</v>
      </c>
      <c r="P33" s="1" t="s">
        <v>375</v>
      </c>
      <c r="Q33" s="1"/>
      <c r="R33" s="1">
        <v>52</v>
      </c>
      <c r="S33" s="1" t="s">
        <v>313</v>
      </c>
      <c r="T33" s="1" t="s">
        <v>27</v>
      </c>
      <c r="U33" s="1" t="s">
        <v>373</v>
      </c>
      <c r="V33" s="1" t="s">
        <v>420</v>
      </c>
    </row>
    <row r="34" spans="1:22" ht="28.5">
      <c r="A34" s="1" t="s">
        <v>322</v>
      </c>
      <c r="B34" s="3">
        <v>46303</v>
      </c>
      <c r="C34" s="1" t="s">
        <v>142</v>
      </c>
      <c r="D34" s="1" t="s">
        <v>143</v>
      </c>
      <c r="E34" s="1" t="s">
        <v>144</v>
      </c>
      <c r="F34" s="1" t="s">
        <v>23</v>
      </c>
      <c r="G34" s="1" t="s">
        <v>295</v>
      </c>
      <c r="H34" s="1" t="s">
        <v>295</v>
      </c>
      <c r="I34" s="1" t="s">
        <v>370</v>
      </c>
      <c r="J34" s="1" t="s">
        <v>415</v>
      </c>
      <c r="K34" s="1">
        <v>3</v>
      </c>
      <c r="L34" s="1">
        <v>3</v>
      </c>
      <c r="M34" s="1">
        <v>3</v>
      </c>
      <c r="N34" s="1" t="s">
        <v>416</v>
      </c>
      <c r="O34" s="1" t="s">
        <v>295</v>
      </c>
      <c r="P34" s="1" t="s">
        <v>370</v>
      </c>
      <c r="Q34" s="1" t="s">
        <v>415</v>
      </c>
      <c r="R34" s="1">
        <v>52</v>
      </c>
      <c r="S34" s="1" t="s">
        <v>320</v>
      </c>
      <c r="T34" s="1" t="s">
        <v>27</v>
      </c>
      <c r="U34" s="1" t="s">
        <v>373</v>
      </c>
      <c r="V34" s="1"/>
    </row>
    <row r="35" spans="1:22" ht="28.5">
      <c r="A35" s="1" t="s">
        <v>318</v>
      </c>
      <c r="B35" s="3">
        <v>46303</v>
      </c>
      <c r="C35" s="1" t="s">
        <v>142</v>
      </c>
      <c r="D35" s="1" t="s">
        <v>143</v>
      </c>
      <c r="E35" s="1" t="s">
        <v>144</v>
      </c>
      <c r="F35" s="1" t="s">
        <v>23</v>
      </c>
      <c r="G35" s="1" t="s">
        <v>319</v>
      </c>
      <c r="H35" s="1" t="s">
        <v>421</v>
      </c>
      <c r="I35" s="1" t="s">
        <v>422</v>
      </c>
      <c r="J35" s="1" t="s">
        <v>423</v>
      </c>
      <c r="K35" s="1">
        <v>5</v>
      </c>
      <c r="L35" s="1">
        <v>5</v>
      </c>
      <c r="M35" s="1">
        <v>5</v>
      </c>
      <c r="N35" s="1" t="s">
        <v>424</v>
      </c>
      <c r="O35" s="1" t="s">
        <v>319</v>
      </c>
      <c r="P35" s="1" t="s">
        <v>422</v>
      </c>
      <c r="Q35" s="1" t="s">
        <v>423</v>
      </c>
      <c r="R35" s="1">
        <v>52</v>
      </c>
      <c r="S35" s="1" t="s">
        <v>320</v>
      </c>
      <c r="T35" s="1" t="s">
        <v>27</v>
      </c>
      <c r="U35" s="1" t="s">
        <v>373</v>
      </c>
      <c r="V35" s="1"/>
    </row>
    <row r="36" spans="1:22" ht="28.5">
      <c r="A36" s="1" t="s">
        <v>324</v>
      </c>
      <c r="B36" s="3">
        <v>46303</v>
      </c>
      <c r="C36" s="1" t="s">
        <v>142</v>
      </c>
      <c r="D36" s="1" t="s">
        <v>143</v>
      </c>
      <c r="E36" s="1" t="s">
        <v>144</v>
      </c>
      <c r="F36" s="1" t="s">
        <v>33</v>
      </c>
      <c r="G36" s="1" t="s">
        <v>298</v>
      </c>
      <c r="H36" s="1" t="s">
        <v>298</v>
      </c>
      <c r="I36" s="1" t="s">
        <v>375</v>
      </c>
      <c r="J36" s="1"/>
      <c r="K36" s="1">
        <v>2</v>
      </c>
      <c r="L36" s="1">
        <v>2</v>
      </c>
      <c r="M36" s="1">
        <v>2</v>
      </c>
      <c r="N36" s="1" t="s">
        <v>417</v>
      </c>
      <c r="O36" s="1" t="s">
        <v>298</v>
      </c>
      <c r="P36" s="1" t="s">
        <v>375</v>
      </c>
      <c r="Q36" s="1"/>
      <c r="R36" s="1">
        <v>52</v>
      </c>
      <c r="S36" s="1" t="s">
        <v>325</v>
      </c>
      <c r="T36" s="1" t="s">
        <v>27</v>
      </c>
      <c r="U36" s="1" t="s">
        <v>373</v>
      </c>
      <c r="V36" s="1"/>
    </row>
    <row r="37" spans="1:22" ht="28.5">
      <c r="A37" s="1" t="s">
        <v>327</v>
      </c>
      <c r="B37" s="3">
        <v>46303</v>
      </c>
      <c r="C37" s="1" t="s">
        <v>142</v>
      </c>
      <c r="D37" s="1" t="s">
        <v>143</v>
      </c>
      <c r="E37" s="1" t="s">
        <v>144</v>
      </c>
      <c r="F37" s="1" t="s">
        <v>33</v>
      </c>
      <c r="G37" s="1" t="s">
        <v>328</v>
      </c>
      <c r="H37" s="1" t="s">
        <v>425</v>
      </c>
      <c r="I37" s="1" t="s">
        <v>370</v>
      </c>
      <c r="J37" s="1" t="s">
        <v>426</v>
      </c>
      <c r="K37" s="1">
        <v>6</v>
      </c>
      <c r="L37" s="1">
        <v>6</v>
      </c>
      <c r="M37" s="1">
        <v>6</v>
      </c>
      <c r="N37" s="1" t="s">
        <v>427</v>
      </c>
      <c r="O37" s="1" t="s">
        <v>328</v>
      </c>
      <c r="P37" s="1" t="s">
        <v>370</v>
      </c>
      <c r="Q37" s="1" t="s">
        <v>426</v>
      </c>
      <c r="R37" s="1">
        <v>52</v>
      </c>
      <c r="S37" s="1" t="s">
        <v>325</v>
      </c>
      <c r="T37" s="1" t="s">
        <v>27</v>
      </c>
      <c r="U37" s="1" t="s">
        <v>373</v>
      </c>
      <c r="V37" s="1"/>
    </row>
    <row r="38" spans="1:22" ht="57">
      <c r="A38" s="1" t="s">
        <v>250</v>
      </c>
      <c r="B38" s="3">
        <v>46301</v>
      </c>
      <c r="C38" s="1" t="s">
        <v>248</v>
      </c>
      <c r="D38" s="1" t="s">
        <v>229</v>
      </c>
      <c r="E38" s="1" t="s">
        <v>249</v>
      </c>
      <c r="F38" s="1" t="s">
        <v>23</v>
      </c>
      <c r="G38" s="1" t="s">
        <v>220</v>
      </c>
      <c r="H38" s="1" t="s">
        <v>251</v>
      </c>
      <c r="I38" s="1" t="s">
        <v>370</v>
      </c>
      <c r="J38" s="1" t="s">
        <v>403</v>
      </c>
      <c r="K38" s="1">
        <v>6</v>
      </c>
      <c r="L38" s="1">
        <v>6</v>
      </c>
      <c r="M38" s="1">
        <v>6</v>
      </c>
      <c r="N38" s="1" t="s">
        <v>220</v>
      </c>
      <c r="O38" s="1" t="s">
        <v>220</v>
      </c>
      <c r="P38" s="1" t="s">
        <v>370</v>
      </c>
      <c r="Q38" s="1" t="s">
        <v>403</v>
      </c>
      <c r="R38" s="1">
        <v>34</v>
      </c>
      <c r="S38" s="1" t="s">
        <v>233</v>
      </c>
      <c r="T38" s="1" t="s">
        <v>27</v>
      </c>
      <c r="U38" s="1" t="s">
        <v>373</v>
      </c>
      <c r="V38" s="1" t="s">
        <v>428</v>
      </c>
    </row>
  </sheetData>
  <dataValidations count="1">
    <dataValidation type="list" sqref="T2:T38" xr:uid="{00000000-0002-0000-0100-000000000000}">
      <formula1>"Yes,No"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93"/>
  <sheetViews>
    <sheetView tabSelected="1" topLeftCell="S1" workbookViewId="0">
      <selection activeCell="X294" sqref="X294"/>
    </sheetView>
  </sheetViews>
  <sheetFormatPr defaultRowHeight="14.25"/>
  <cols>
    <col min="1" max="1" width="14" customWidth="1"/>
    <col min="2" max="2" width="12" customWidth="1"/>
    <col min="3" max="3" width="18" customWidth="1"/>
    <col min="4" max="4" width="11" customWidth="1"/>
    <col min="5" max="5" width="14" customWidth="1"/>
    <col min="6" max="6" width="20" customWidth="1"/>
    <col min="7" max="7" width="18" customWidth="1"/>
    <col min="8" max="8" width="14" customWidth="1"/>
    <col min="9" max="9" width="55" customWidth="1"/>
    <col min="10" max="10" width="26" customWidth="1"/>
    <col min="11" max="11" width="55" customWidth="1"/>
    <col min="12" max="12" width="28" customWidth="1"/>
    <col min="13" max="13" width="20" customWidth="1"/>
    <col min="14" max="14" width="28" customWidth="1"/>
    <col min="15" max="15" width="12" customWidth="1"/>
    <col min="16" max="16" width="22" customWidth="1"/>
    <col min="17" max="17" width="42" customWidth="1"/>
    <col min="18" max="18" width="20" customWidth="1"/>
    <col min="19" max="19" width="42" customWidth="1"/>
    <col min="20" max="20" width="24" customWidth="1"/>
    <col min="21" max="21" width="18" customWidth="1"/>
    <col min="22" max="22" width="55" customWidth="1"/>
    <col min="23" max="23" width="26" customWidth="1"/>
    <col min="24" max="24" width="55" customWidth="1"/>
    <col min="25" max="25" width="42" customWidth="1"/>
  </cols>
  <sheetData>
    <row r="1" spans="1:25" ht="30" customHeight="1">
      <c r="A1" s="2" t="s">
        <v>429</v>
      </c>
      <c r="B1" s="2" t="s">
        <v>356</v>
      </c>
      <c r="C1" s="2" t="s">
        <v>430</v>
      </c>
      <c r="D1" s="2" t="s">
        <v>10</v>
      </c>
      <c r="E1" s="2" t="s">
        <v>431</v>
      </c>
      <c r="F1" s="2" t="s">
        <v>432</v>
      </c>
      <c r="G1" s="2" t="s">
        <v>433</v>
      </c>
      <c r="H1" s="2" t="s">
        <v>434</v>
      </c>
      <c r="I1" s="2" t="s">
        <v>435</v>
      </c>
      <c r="J1" s="2" t="s">
        <v>436</v>
      </c>
      <c r="K1" s="2" t="s">
        <v>437</v>
      </c>
      <c r="L1" s="2" t="s">
        <v>438</v>
      </c>
      <c r="M1" s="2" t="s">
        <v>439</v>
      </c>
      <c r="N1" s="2" t="s">
        <v>365</v>
      </c>
      <c r="O1" s="2" t="s">
        <v>440</v>
      </c>
      <c r="P1" s="2" t="s">
        <v>441</v>
      </c>
      <c r="Q1" s="2" t="s">
        <v>366</v>
      </c>
      <c r="R1" s="2" t="s">
        <v>367</v>
      </c>
      <c r="S1" s="2" t="s">
        <v>368</v>
      </c>
      <c r="T1" s="2" t="s">
        <v>442</v>
      </c>
      <c r="U1" s="2" t="s">
        <v>443</v>
      </c>
      <c r="V1" s="2" t="s">
        <v>444</v>
      </c>
      <c r="W1" s="2" t="s">
        <v>445</v>
      </c>
      <c r="X1" s="2" t="s">
        <v>446</v>
      </c>
      <c r="Y1" s="2" t="s">
        <v>15</v>
      </c>
    </row>
    <row r="2" spans="1:25" ht="42.75" hidden="1">
      <c r="A2" s="1" t="s">
        <v>447</v>
      </c>
      <c r="B2" s="1" t="s">
        <v>244</v>
      </c>
      <c r="C2" s="1" t="s">
        <v>448</v>
      </c>
      <c r="D2" s="1" t="s">
        <v>27</v>
      </c>
      <c r="E2" s="1" t="s">
        <v>449</v>
      </c>
      <c r="F2" s="1" t="s">
        <v>450</v>
      </c>
      <c r="G2" s="1" t="s">
        <v>451</v>
      </c>
      <c r="H2" s="1" t="s">
        <v>452</v>
      </c>
      <c r="I2" s="1" t="s">
        <v>453</v>
      </c>
      <c r="J2" s="1" t="s">
        <v>454</v>
      </c>
      <c r="K2" s="1" t="s">
        <v>455</v>
      </c>
      <c r="L2" s="1"/>
      <c r="M2" s="1"/>
      <c r="N2" s="1" t="s">
        <v>406</v>
      </c>
      <c r="O2" s="1">
        <v>6</v>
      </c>
      <c r="P2" s="1" t="s">
        <v>450</v>
      </c>
      <c r="Q2" s="1" t="s">
        <v>245</v>
      </c>
      <c r="R2" s="1" t="s">
        <v>370</v>
      </c>
      <c r="S2" s="1" t="s">
        <v>405</v>
      </c>
      <c r="T2" s="1" t="s">
        <v>456</v>
      </c>
      <c r="U2" s="1" t="s">
        <v>451</v>
      </c>
      <c r="V2" s="1" t="s">
        <v>453</v>
      </c>
      <c r="W2" s="1" t="s">
        <v>454</v>
      </c>
      <c r="X2" s="1" t="s">
        <v>455</v>
      </c>
      <c r="Y2" s="1"/>
    </row>
    <row r="3" spans="1:25" ht="28.5" hidden="1">
      <c r="A3" s="1" t="s">
        <v>457</v>
      </c>
      <c r="B3" s="1" t="s">
        <v>244</v>
      </c>
      <c r="C3" s="1" t="s">
        <v>448</v>
      </c>
      <c r="D3" s="1" t="s">
        <v>27</v>
      </c>
      <c r="E3" s="1" t="s">
        <v>449</v>
      </c>
      <c r="F3" s="1" t="s">
        <v>450</v>
      </c>
      <c r="G3" s="1" t="s">
        <v>458</v>
      </c>
      <c r="H3" s="1" t="s">
        <v>459</v>
      </c>
      <c r="I3" s="1" t="s">
        <v>460</v>
      </c>
      <c r="J3" s="1" t="s">
        <v>461</v>
      </c>
      <c r="K3" s="1" t="s">
        <v>462</v>
      </c>
      <c r="L3" s="1"/>
      <c r="M3" s="1"/>
      <c r="N3" s="1" t="s">
        <v>406</v>
      </c>
      <c r="O3" s="1">
        <v>7</v>
      </c>
      <c r="P3" s="1" t="s">
        <v>450</v>
      </c>
      <c r="Q3" s="1" t="s">
        <v>245</v>
      </c>
      <c r="R3" s="1" t="s">
        <v>370</v>
      </c>
      <c r="S3" s="1" t="s">
        <v>405</v>
      </c>
      <c r="T3" s="1" t="s">
        <v>456</v>
      </c>
      <c r="U3" s="1" t="s">
        <v>458</v>
      </c>
      <c r="V3" s="1" t="s">
        <v>460</v>
      </c>
      <c r="W3" s="1" t="s">
        <v>461</v>
      </c>
      <c r="X3" s="1" t="s">
        <v>462</v>
      </c>
      <c r="Y3" s="1"/>
    </row>
    <row r="4" spans="1:25" ht="28.5" hidden="1">
      <c r="A4" s="1" t="s">
        <v>463</v>
      </c>
      <c r="B4" s="1" t="s">
        <v>244</v>
      </c>
      <c r="C4" s="1" t="s">
        <v>448</v>
      </c>
      <c r="D4" s="1" t="s">
        <v>27</v>
      </c>
      <c r="E4" s="1" t="s">
        <v>449</v>
      </c>
      <c r="F4" s="1" t="s">
        <v>450</v>
      </c>
      <c r="G4" s="1" t="s">
        <v>464</v>
      </c>
      <c r="H4" s="1" t="s">
        <v>465</v>
      </c>
      <c r="I4" s="1" t="s">
        <v>466</v>
      </c>
      <c r="J4" s="1" t="s">
        <v>467</v>
      </c>
      <c r="K4" s="1" t="s">
        <v>468</v>
      </c>
      <c r="L4" s="1"/>
      <c r="M4" s="1"/>
      <c r="N4" s="1" t="s">
        <v>406</v>
      </c>
      <c r="O4" s="1">
        <v>8</v>
      </c>
      <c r="P4" s="1" t="s">
        <v>450</v>
      </c>
      <c r="Q4" s="1" t="s">
        <v>245</v>
      </c>
      <c r="R4" s="1" t="s">
        <v>370</v>
      </c>
      <c r="S4" s="1" t="s">
        <v>405</v>
      </c>
      <c r="T4" s="1" t="s">
        <v>456</v>
      </c>
      <c r="U4" s="1" t="s">
        <v>464</v>
      </c>
      <c r="V4" s="1" t="s">
        <v>466</v>
      </c>
      <c r="W4" s="1" t="s">
        <v>467</v>
      </c>
      <c r="X4" s="1" t="s">
        <v>468</v>
      </c>
      <c r="Y4" s="1"/>
    </row>
    <row r="5" spans="1:25" ht="28.5" hidden="1">
      <c r="A5" s="1" t="s">
        <v>469</v>
      </c>
      <c r="B5" s="1" t="s">
        <v>244</v>
      </c>
      <c r="C5" s="1" t="s">
        <v>448</v>
      </c>
      <c r="D5" s="1" t="s">
        <v>27</v>
      </c>
      <c r="E5" s="1" t="s">
        <v>449</v>
      </c>
      <c r="F5" s="1" t="s">
        <v>450</v>
      </c>
      <c r="G5" s="1" t="s">
        <v>470</v>
      </c>
      <c r="H5" s="1" t="s">
        <v>471</v>
      </c>
      <c r="I5" s="1" t="s">
        <v>472</v>
      </c>
      <c r="J5" s="1" t="s">
        <v>473</v>
      </c>
      <c r="K5" s="1"/>
      <c r="L5" s="1"/>
      <c r="M5" s="1"/>
      <c r="N5" s="1" t="s">
        <v>406</v>
      </c>
      <c r="O5" s="1">
        <v>9</v>
      </c>
      <c r="P5" s="1" t="s">
        <v>450</v>
      </c>
      <c r="Q5" s="1" t="s">
        <v>245</v>
      </c>
      <c r="R5" s="1" t="s">
        <v>370</v>
      </c>
      <c r="S5" s="1" t="s">
        <v>405</v>
      </c>
      <c r="T5" s="1" t="s">
        <v>456</v>
      </c>
      <c r="U5" s="1" t="s">
        <v>470</v>
      </c>
      <c r="V5" s="1" t="s">
        <v>472</v>
      </c>
      <c r="W5" s="1" t="s">
        <v>473</v>
      </c>
      <c r="X5" s="1"/>
      <c r="Y5" s="1"/>
    </row>
    <row r="6" spans="1:25" ht="28.5" hidden="1">
      <c r="A6" s="1" t="s">
        <v>474</v>
      </c>
      <c r="B6" s="1" t="s">
        <v>244</v>
      </c>
      <c r="C6" s="1" t="s">
        <v>448</v>
      </c>
      <c r="D6" s="1" t="s">
        <v>27</v>
      </c>
      <c r="E6" s="1" t="s">
        <v>449</v>
      </c>
      <c r="F6" s="1" t="s">
        <v>450</v>
      </c>
      <c r="G6" s="1" t="s">
        <v>475</v>
      </c>
      <c r="H6" s="1" t="s">
        <v>476</v>
      </c>
      <c r="I6" s="1" t="s">
        <v>477</v>
      </c>
      <c r="J6" s="1" t="s">
        <v>478</v>
      </c>
      <c r="K6" s="1" t="s">
        <v>479</v>
      </c>
      <c r="L6" s="1"/>
      <c r="M6" s="1"/>
      <c r="N6" s="1" t="s">
        <v>406</v>
      </c>
      <c r="O6" s="1">
        <v>10</v>
      </c>
      <c r="P6" s="1" t="s">
        <v>450</v>
      </c>
      <c r="Q6" s="1" t="s">
        <v>245</v>
      </c>
      <c r="R6" s="1" t="s">
        <v>370</v>
      </c>
      <c r="S6" s="1" t="s">
        <v>405</v>
      </c>
      <c r="T6" s="1" t="s">
        <v>456</v>
      </c>
      <c r="U6" s="1" t="s">
        <v>475</v>
      </c>
      <c r="V6" s="1" t="s">
        <v>477</v>
      </c>
      <c r="W6" s="1" t="s">
        <v>478</v>
      </c>
      <c r="X6" s="1" t="s">
        <v>479</v>
      </c>
      <c r="Y6" s="1"/>
    </row>
    <row r="7" spans="1:25" ht="28.5" hidden="1">
      <c r="A7" s="1" t="s">
        <v>480</v>
      </c>
      <c r="B7" s="1" t="s">
        <v>244</v>
      </c>
      <c r="C7" s="1" t="s">
        <v>448</v>
      </c>
      <c r="D7" s="1" t="s">
        <v>27</v>
      </c>
      <c r="E7" s="1" t="s">
        <v>449</v>
      </c>
      <c r="F7" s="1" t="s">
        <v>450</v>
      </c>
      <c r="G7" s="1" t="s">
        <v>481</v>
      </c>
      <c r="H7" s="1" t="s">
        <v>482</v>
      </c>
      <c r="I7" s="1" t="s">
        <v>483</v>
      </c>
      <c r="J7" s="1" t="s">
        <v>484</v>
      </c>
      <c r="K7" s="1" t="s">
        <v>485</v>
      </c>
      <c r="L7" s="1"/>
      <c r="M7" s="1"/>
      <c r="N7" s="1" t="s">
        <v>406</v>
      </c>
      <c r="O7" s="1">
        <v>11</v>
      </c>
      <c r="P7" s="1" t="s">
        <v>450</v>
      </c>
      <c r="Q7" s="1" t="s">
        <v>245</v>
      </c>
      <c r="R7" s="1" t="s">
        <v>370</v>
      </c>
      <c r="S7" s="1" t="s">
        <v>405</v>
      </c>
      <c r="T7" s="1" t="s">
        <v>456</v>
      </c>
      <c r="U7" s="1" t="s">
        <v>481</v>
      </c>
      <c r="V7" s="1" t="s">
        <v>483</v>
      </c>
      <c r="W7" s="1" t="s">
        <v>484</v>
      </c>
      <c r="X7" s="1" t="s">
        <v>485</v>
      </c>
      <c r="Y7" s="1"/>
    </row>
    <row r="8" spans="1:25" ht="42.75" hidden="1">
      <c r="A8" s="1" t="s">
        <v>486</v>
      </c>
      <c r="B8" s="1"/>
      <c r="C8" s="1" t="s">
        <v>487</v>
      </c>
      <c r="D8" s="1" t="s">
        <v>27</v>
      </c>
      <c r="E8" s="1" t="s">
        <v>449</v>
      </c>
      <c r="F8" s="1" t="s">
        <v>488</v>
      </c>
      <c r="G8" s="1"/>
      <c r="H8" s="1" t="s">
        <v>489</v>
      </c>
      <c r="I8" s="1" t="s">
        <v>490</v>
      </c>
      <c r="J8" s="1" t="s">
        <v>491</v>
      </c>
      <c r="K8" s="1"/>
      <c r="L8" s="1"/>
      <c r="M8" s="1"/>
      <c r="N8" s="1" t="s">
        <v>406</v>
      </c>
      <c r="O8" s="1">
        <v>16</v>
      </c>
      <c r="P8" s="1" t="s">
        <v>450</v>
      </c>
      <c r="Q8" s="1" t="s">
        <v>245</v>
      </c>
      <c r="R8" s="1" t="s">
        <v>370</v>
      </c>
      <c r="S8" s="1" t="s">
        <v>405</v>
      </c>
      <c r="T8" s="1" t="s">
        <v>456</v>
      </c>
      <c r="U8" s="1"/>
      <c r="V8" s="1" t="s">
        <v>490</v>
      </c>
      <c r="W8" s="1" t="s">
        <v>491</v>
      </c>
      <c r="X8" s="1"/>
      <c r="Y8" s="1"/>
    </row>
    <row r="9" spans="1:25" ht="42.75" hidden="1">
      <c r="A9" s="1" t="s">
        <v>492</v>
      </c>
      <c r="B9" s="1"/>
      <c r="C9" s="1" t="s">
        <v>487</v>
      </c>
      <c r="D9" s="1" t="s">
        <v>27</v>
      </c>
      <c r="E9" s="1" t="s">
        <v>449</v>
      </c>
      <c r="F9" s="1" t="s">
        <v>488</v>
      </c>
      <c r="G9" s="1"/>
      <c r="H9" s="1" t="s">
        <v>493</v>
      </c>
      <c r="I9" s="1" t="s">
        <v>494</v>
      </c>
      <c r="J9" s="1" t="s">
        <v>495</v>
      </c>
      <c r="K9" s="1" t="s">
        <v>496</v>
      </c>
      <c r="L9" s="1"/>
      <c r="M9" s="1"/>
      <c r="N9" s="1" t="s">
        <v>406</v>
      </c>
      <c r="O9" s="1">
        <v>17</v>
      </c>
      <c r="P9" s="1" t="s">
        <v>450</v>
      </c>
      <c r="Q9" s="1" t="s">
        <v>245</v>
      </c>
      <c r="R9" s="1" t="s">
        <v>370</v>
      </c>
      <c r="S9" s="1" t="s">
        <v>405</v>
      </c>
      <c r="T9" s="1" t="s">
        <v>456</v>
      </c>
      <c r="U9" s="1"/>
      <c r="V9" s="1" t="s">
        <v>494</v>
      </c>
      <c r="W9" s="1" t="s">
        <v>495</v>
      </c>
      <c r="X9" s="1" t="s">
        <v>496</v>
      </c>
      <c r="Y9" s="1"/>
    </row>
    <row r="10" spans="1:25" ht="28.5" hidden="1">
      <c r="A10" s="1" t="s">
        <v>497</v>
      </c>
      <c r="B10" s="1" t="s">
        <v>152</v>
      </c>
      <c r="C10" s="1" t="s">
        <v>448</v>
      </c>
      <c r="D10" s="1" t="s">
        <v>27</v>
      </c>
      <c r="E10" s="1" t="s">
        <v>449</v>
      </c>
      <c r="F10" s="1" t="s">
        <v>498</v>
      </c>
      <c r="G10" s="1" t="s">
        <v>499</v>
      </c>
      <c r="H10" s="1" t="s">
        <v>500</v>
      </c>
      <c r="I10" s="1" t="s">
        <v>501</v>
      </c>
      <c r="J10" s="1" t="s">
        <v>502</v>
      </c>
      <c r="K10" s="1" t="s">
        <v>503</v>
      </c>
      <c r="L10" s="1"/>
      <c r="M10" s="1"/>
      <c r="N10" s="1" t="s">
        <v>153</v>
      </c>
      <c r="O10" s="1">
        <v>6</v>
      </c>
      <c r="P10" s="1" t="s">
        <v>498</v>
      </c>
      <c r="Q10" s="1" t="s">
        <v>153</v>
      </c>
      <c r="R10" s="1" t="s">
        <v>370</v>
      </c>
      <c r="S10" s="1" t="s">
        <v>391</v>
      </c>
      <c r="T10" s="1" t="s">
        <v>504</v>
      </c>
      <c r="U10" s="1" t="s">
        <v>499</v>
      </c>
      <c r="V10" s="1" t="s">
        <v>501</v>
      </c>
      <c r="W10" s="1" t="s">
        <v>502</v>
      </c>
      <c r="X10" s="1" t="s">
        <v>503</v>
      </c>
      <c r="Y10" s="1"/>
    </row>
    <row r="11" spans="1:25" ht="28.5" hidden="1">
      <c r="A11" s="1" t="s">
        <v>505</v>
      </c>
      <c r="B11" s="1" t="s">
        <v>152</v>
      </c>
      <c r="C11" s="1" t="s">
        <v>448</v>
      </c>
      <c r="D11" s="1" t="s">
        <v>27</v>
      </c>
      <c r="E11" s="1" t="s">
        <v>449</v>
      </c>
      <c r="F11" s="1" t="s">
        <v>498</v>
      </c>
      <c r="G11" s="1" t="s">
        <v>506</v>
      </c>
      <c r="H11" s="1" t="s">
        <v>507</v>
      </c>
      <c r="I11" s="1" t="s">
        <v>508</v>
      </c>
      <c r="J11" s="1" t="s">
        <v>509</v>
      </c>
      <c r="K11" s="1" t="s">
        <v>510</v>
      </c>
      <c r="L11" s="1"/>
      <c r="M11" s="1"/>
      <c r="N11" s="1" t="s">
        <v>153</v>
      </c>
      <c r="O11" s="1">
        <v>7</v>
      </c>
      <c r="P11" s="1" t="s">
        <v>498</v>
      </c>
      <c r="Q11" s="1" t="s">
        <v>153</v>
      </c>
      <c r="R11" s="1" t="s">
        <v>370</v>
      </c>
      <c r="S11" s="1" t="s">
        <v>391</v>
      </c>
      <c r="T11" s="1" t="s">
        <v>504</v>
      </c>
      <c r="U11" s="1" t="s">
        <v>506</v>
      </c>
      <c r="V11" s="1" t="s">
        <v>508</v>
      </c>
      <c r="W11" s="1" t="s">
        <v>509</v>
      </c>
      <c r="X11" s="1" t="s">
        <v>510</v>
      </c>
      <c r="Y11" s="1"/>
    </row>
    <row r="12" spans="1:25" ht="28.5" hidden="1">
      <c r="A12" s="1" t="s">
        <v>511</v>
      </c>
      <c r="B12" s="1" t="s">
        <v>152</v>
      </c>
      <c r="C12" s="1" t="s">
        <v>448</v>
      </c>
      <c r="D12" s="1" t="s">
        <v>27</v>
      </c>
      <c r="E12" s="1" t="s">
        <v>449</v>
      </c>
      <c r="F12" s="1" t="s">
        <v>498</v>
      </c>
      <c r="G12" s="1" t="s">
        <v>512</v>
      </c>
      <c r="H12" s="1" t="s">
        <v>513</v>
      </c>
      <c r="I12" s="1" t="s">
        <v>514</v>
      </c>
      <c r="J12" s="1" t="s">
        <v>462</v>
      </c>
      <c r="K12" s="1" t="s">
        <v>515</v>
      </c>
      <c r="L12" s="1"/>
      <c r="M12" s="1"/>
      <c r="N12" s="1" t="s">
        <v>153</v>
      </c>
      <c r="O12" s="1">
        <v>8</v>
      </c>
      <c r="P12" s="1" t="s">
        <v>498</v>
      </c>
      <c r="Q12" s="1" t="s">
        <v>153</v>
      </c>
      <c r="R12" s="1" t="s">
        <v>370</v>
      </c>
      <c r="S12" s="1" t="s">
        <v>391</v>
      </c>
      <c r="T12" s="1" t="s">
        <v>504</v>
      </c>
      <c r="U12" s="1" t="s">
        <v>512</v>
      </c>
      <c r="V12" s="1" t="s">
        <v>514</v>
      </c>
      <c r="W12" s="1" t="s">
        <v>462</v>
      </c>
      <c r="X12" s="1" t="s">
        <v>515</v>
      </c>
      <c r="Y12" s="1"/>
    </row>
    <row r="13" spans="1:25" ht="28.5" hidden="1">
      <c r="A13" s="1" t="s">
        <v>516</v>
      </c>
      <c r="B13" s="1" t="s">
        <v>152</v>
      </c>
      <c r="C13" s="1" t="s">
        <v>448</v>
      </c>
      <c r="D13" s="1" t="s">
        <v>27</v>
      </c>
      <c r="E13" s="1" t="s">
        <v>449</v>
      </c>
      <c r="F13" s="1" t="s">
        <v>498</v>
      </c>
      <c r="G13" s="1" t="s">
        <v>517</v>
      </c>
      <c r="H13" s="1" t="s">
        <v>518</v>
      </c>
      <c r="I13" s="1" t="s">
        <v>519</v>
      </c>
      <c r="J13" s="1" t="s">
        <v>520</v>
      </c>
      <c r="K13" s="1"/>
      <c r="L13" s="1"/>
      <c r="M13" s="1"/>
      <c r="N13" s="1" t="s">
        <v>153</v>
      </c>
      <c r="O13" s="1">
        <v>9</v>
      </c>
      <c r="P13" s="1" t="s">
        <v>498</v>
      </c>
      <c r="Q13" s="1" t="s">
        <v>153</v>
      </c>
      <c r="R13" s="1" t="s">
        <v>370</v>
      </c>
      <c r="S13" s="1" t="s">
        <v>391</v>
      </c>
      <c r="T13" s="1" t="s">
        <v>504</v>
      </c>
      <c r="U13" s="1" t="s">
        <v>517</v>
      </c>
      <c r="V13" s="1" t="s">
        <v>519</v>
      </c>
      <c r="W13" s="1" t="s">
        <v>520</v>
      </c>
      <c r="X13" s="1"/>
      <c r="Y13" s="1"/>
    </row>
    <row r="14" spans="1:25" ht="28.5" hidden="1">
      <c r="A14" s="1" t="s">
        <v>521</v>
      </c>
      <c r="B14" s="1" t="s">
        <v>152</v>
      </c>
      <c r="C14" s="1" t="s">
        <v>448</v>
      </c>
      <c r="D14" s="1" t="s">
        <v>27</v>
      </c>
      <c r="E14" s="1" t="s">
        <v>449</v>
      </c>
      <c r="F14" s="1" t="s">
        <v>498</v>
      </c>
      <c r="G14" s="1" t="s">
        <v>522</v>
      </c>
      <c r="H14" s="1" t="s">
        <v>523</v>
      </c>
      <c r="I14" s="1" t="s">
        <v>524</v>
      </c>
      <c r="J14" s="1" t="s">
        <v>525</v>
      </c>
      <c r="K14" s="1" t="s">
        <v>526</v>
      </c>
      <c r="L14" s="1"/>
      <c r="M14" s="1"/>
      <c r="N14" s="1" t="s">
        <v>153</v>
      </c>
      <c r="O14" s="1">
        <v>10</v>
      </c>
      <c r="P14" s="1" t="s">
        <v>498</v>
      </c>
      <c r="Q14" s="1" t="s">
        <v>153</v>
      </c>
      <c r="R14" s="1" t="s">
        <v>370</v>
      </c>
      <c r="S14" s="1" t="s">
        <v>391</v>
      </c>
      <c r="T14" s="1" t="s">
        <v>504</v>
      </c>
      <c r="U14" s="1" t="s">
        <v>522</v>
      </c>
      <c r="V14" s="1" t="s">
        <v>524</v>
      </c>
      <c r="W14" s="1" t="s">
        <v>525</v>
      </c>
      <c r="X14" s="1" t="s">
        <v>526</v>
      </c>
      <c r="Y14" s="1"/>
    </row>
    <row r="15" spans="1:25" ht="42.75" hidden="1">
      <c r="A15" s="1" t="s">
        <v>527</v>
      </c>
      <c r="B15" s="1" t="s">
        <v>271</v>
      </c>
      <c r="C15" s="1" t="s">
        <v>448</v>
      </c>
      <c r="D15" s="1" t="s">
        <v>27</v>
      </c>
      <c r="E15" s="1" t="s">
        <v>449</v>
      </c>
      <c r="F15" s="1" t="s">
        <v>528</v>
      </c>
      <c r="G15" s="1" t="s">
        <v>529</v>
      </c>
      <c r="H15" s="1" t="s">
        <v>530</v>
      </c>
      <c r="I15" s="1" t="s">
        <v>531</v>
      </c>
      <c r="J15" s="1" t="s">
        <v>532</v>
      </c>
      <c r="K15" s="1" t="s">
        <v>533</v>
      </c>
      <c r="L15" s="1"/>
      <c r="M15" s="1"/>
      <c r="N15" s="1" t="s">
        <v>407</v>
      </c>
      <c r="O15" s="1">
        <v>7</v>
      </c>
      <c r="P15" s="1" t="s">
        <v>528</v>
      </c>
      <c r="Q15" s="1" t="s">
        <v>272</v>
      </c>
      <c r="R15" s="1" t="s">
        <v>370</v>
      </c>
      <c r="S15" s="1" t="s">
        <v>408</v>
      </c>
      <c r="T15" s="1" t="s">
        <v>49</v>
      </c>
      <c r="U15" s="1" t="s">
        <v>529</v>
      </c>
      <c r="V15" s="1" t="s">
        <v>531</v>
      </c>
      <c r="W15" s="1" t="s">
        <v>532</v>
      </c>
      <c r="X15" s="1" t="s">
        <v>533</v>
      </c>
      <c r="Y15" s="1"/>
    </row>
    <row r="16" spans="1:25" ht="57" hidden="1">
      <c r="A16" s="1" t="s">
        <v>534</v>
      </c>
      <c r="B16" s="1" t="s">
        <v>271</v>
      </c>
      <c r="C16" s="1" t="s">
        <v>448</v>
      </c>
      <c r="D16" s="1" t="s">
        <v>27</v>
      </c>
      <c r="E16" s="1" t="s">
        <v>449</v>
      </c>
      <c r="F16" s="1" t="s">
        <v>528</v>
      </c>
      <c r="G16" s="1" t="s">
        <v>535</v>
      </c>
      <c r="H16" s="1" t="s">
        <v>536</v>
      </c>
      <c r="I16" s="1" t="s">
        <v>537</v>
      </c>
      <c r="J16" s="1" t="s">
        <v>538</v>
      </c>
      <c r="K16" s="1" t="s">
        <v>539</v>
      </c>
      <c r="L16" s="1"/>
      <c r="M16" s="1"/>
      <c r="N16" s="1" t="s">
        <v>407</v>
      </c>
      <c r="O16" s="1">
        <v>8</v>
      </c>
      <c r="P16" s="1" t="s">
        <v>528</v>
      </c>
      <c r="Q16" s="1" t="s">
        <v>272</v>
      </c>
      <c r="R16" s="1" t="s">
        <v>370</v>
      </c>
      <c r="S16" s="1" t="s">
        <v>408</v>
      </c>
      <c r="T16" s="1" t="s">
        <v>49</v>
      </c>
      <c r="U16" s="1" t="s">
        <v>535</v>
      </c>
      <c r="V16" s="1" t="s">
        <v>537</v>
      </c>
      <c r="W16" s="1" t="s">
        <v>538</v>
      </c>
      <c r="X16" s="1" t="s">
        <v>539</v>
      </c>
      <c r="Y16" s="1"/>
    </row>
    <row r="17" spans="1:25" ht="42.75" hidden="1">
      <c r="A17" s="1" t="s">
        <v>540</v>
      </c>
      <c r="B17" s="1" t="s">
        <v>271</v>
      </c>
      <c r="C17" s="1" t="s">
        <v>448</v>
      </c>
      <c r="D17" s="1" t="s">
        <v>27</v>
      </c>
      <c r="E17" s="1" t="s">
        <v>449</v>
      </c>
      <c r="F17" s="1" t="s">
        <v>528</v>
      </c>
      <c r="G17" s="1" t="s">
        <v>541</v>
      </c>
      <c r="H17" s="1" t="s">
        <v>542</v>
      </c>
      <c r="I17" s="1" t="s">
        <v>543</v>
      </c>
      <c r="J17" s="1" t="s">
        <v>544</v>
      </c>
      <c r="K17" s="1" t="s">
        <v>545</v>
      </c>
      <c r="L17" s="1"/>
      <c r="M17" s="1"/>
      <c r="N17" s="1" t="s">
        <v>407</v>
      </c>
      <c r="O17" s="1">
        <v>9</v>
      </c>
      <c r="P17" s="1" t="s">
        <v>528</v>
      </c>
      <c r="Q17" s="1" t="s">
        <v>272</v>
      </c>
      <c r="R17" s="1" t="s">
        <v>370</v>
      </c>
      <c r="S17" s="1" t="s">
        <v>408</v>
      </c>
      <c r="T17" s="1" t="s">
        <v>49</v>
      </c>
      <c r="U17" s="1" t="s">
        <v>541</v>
      </c>
      <c r="V17" s="1" t="s">
        <v>543</v>
      </c>
      <c r="W17" s="1" t="s">
        <v>544</v>
      </c>
      <c r="X17" s="1" t="s">
        <v>545</v>
      </c>
      <c r="Y17" s="1"/>
    </row>
    <row r="18" spans="1:25" ht="42.75" hidden="1">
      <c r="A18" s="1" t="s">
        <v>546</v>
      </c>
      <c r="B18" s="1" t="s">
        <v>271</v>
      </c>
      <c r="C18" s="1" t="s">
        <v>448</v>
      </c>
      <c r="D18" s="1" t="s">
        <v>27</v>
      </c>
      <c r="E18" s="1" t="s">
        <v>449</v>
      </c>
      <c r="F18" s="1" t="s">
        <v>528</v>
      </c>
      <c r="G18" s="1" t="s">
        <v>547</v>
      </c>
      <c r="H18" s="1" t="s">
        <v>548</v>
      </c>
      <c r="I18" s="1" t="s">
        <v>549</v>
      </c>
      <c r="J18" s="1" t="s">
        <v>550</v>
      </c>
      <c r="K18" s="1" t="s">
        <v>551</v>
      </c>
      <c r="L18" s="1"/>
      <c r="M18" s="1"/>
      <c r="N18" s="1" t="s">
        <v>407</v>
      </c>
      <c r="O18" s="1">
        <v>10</v>
      </c>
      <c r="P18" s="1" t="s">
        <v>528</v>
      </c>
      <c r="Q18" s="1" t="s">
        <v>272</v>
      </c>
      <c r="R18" s="1" t="s">
        <v>370</v>
      </c>
      <c r="S18" s="1" t="s">
        <v>408</v>
      </c>
      <c r="T18" s="1" t="s">
        <v>49</v>
      </c>
      <c r="U18" s="1" t="s">
        <v>547</v>
      </c>
      <c r="V18" s="1" t="s">
        <v>549</v>
      </c>
      <c r="W18" s="1" t="s">
        <v>550</v>
      </c>
      <c r="X18" s="1" t="s">
        <v>551</v>
      </c>
      <c r="Y18" s="1"/>
    </row>
    <row r="19" spans="1:25" ht="57" hidden="1">
      <c r="A19" s="1" t="s">
        <v>552</v>
      </c>
      <c r="B19" s="1" t="s">
        <v>271</v>
      </c>
      <c r="C19" s="1" t="s">
        <v>448</v>
      </c>
      <c r="D19" s="1" t="s">
        <v>27</v>
      </c>
      <c r="E19" s="1" t="s">
        <v>449</v>
      </c>
      <c r="F19" s="1" t="s">
        <v>528</v>
      </c>
      <c r="G19" s="1" t="s">
        <v>553</v>
      </c>
      <c r="H19" s="1" t="s">
        <v>554</v>
      </c>
      <c r="I19" s="1" t="s">
        <v>555</v>
      </c>
      <c r="J19" s="1" t="s">
        <v>556</v>
      </c>
      <c r="K19" s="1" t="s">
        <v>557</v>
      </c>
      <c r="L19" s="1"/>
      <c r="M19" s="1"/>
      <c r="N19" s="1" t="s">
        <v>407</v>
      </c>
      <c r="O19" s="1">
        <v>11</v>
      </c>
      <c r="P19" s="1" t="s">
        <v>528</v>
      </c>
      <c r="Q19" s="1" t="s">
        <v>272</v>
      </c>
      <c r="R19" s="1" t="s">
        <v>370</v>
      </c>
      <c r="S19" s="1" t="s">
        <v>408</v>
      </c>
      <c r="T19" s="1" t="s">
        <v>49</v>
      </c>
      <c r="U19" s="1" t="s">
        <v>553</v>
      </c>
      <c r="V19" s="1" t="s">
        <v>555</v>
      </c>
      <c r="W19" s="1" t="s">
        <v>556</v>
      </c>
      <c r="X19" s="1" t="s">
        <v>557</v>
      </c>
      <c r="Y19" s="1"/>
    </row>
    <row r="20" spans="1:25" ht="28.5" hidden="1">
      <c r="A20" s="1" t="s">
        <v>558</v>
      </c>
      <c r="B20" s="1" t="s">
        <v>271</v>
      </c>
      <c r="C20" s="1" t="s">
        <v>448</v>
      </c>
      <c r="D20" s="1" t="s">
        <v>27</v>
      </c>
      <c r="E20" s="1" t="s">
        <v>449</v>
      </c>
      <c r="F20" s="1" t="s">
        <v>528</v>
      </c>
      <c r="G20" s="1" t="s">
        <v>559</v>
      </c>
      <c r="H20" s="1" t="s">
        <v>560</v>
      </c>
      <c r="I20" s="1" t="s">
        <v>561</v>
      </c>
      <c r="J20" s="1" t="s">
        <v>562</v>
      </c>
      <c r="K20" s="1" t="s">
        <v>563</v>
      </c>
      <c r="L20" s="1"/>
      <c r="M20" s="1"/>
      <c r="N20" s="1" t="s">
        <v>407</v>
      </c>
      <c r="O20" s="1">
        <v>12</v>
      </c>
      <c r="P20" s="1" t="s">
        <v>528</v>
      </c>
      <c r="Q20" s="1" t="s">
        <v>272</v>
      </c>
      <c r="R20" s="1" t="s">
        <v>370</v>
      </c>
      <c r="S20" s="1" t="s">
        <v>408</v>
      </c>
      <c r="T20" s="1" t="s">
        <v>49</v>
      </c>
      <c r="U20" s="1" t="s">
        <v>559</v>
      </c>
      <c r="V20" s="1" t="s">
        <v>561</v>
      </c>
      <c r="W20" s="1" t="s">
        <v>562</v>
      </c>
      <c r="X20" s="1" t="s">
        <v>563</v>
      </c>
      <c r="Y20" s="1"/>
    </row>
    <row r="21" spans="1:25" ht="28.5" hidden="1">
      <c r="A21" s="1" t="s">
        <v>564</v>
      </c>
      <c r="B21" s="1" t="s">
        <v>271</v>
      </c>
      <c r="C21" s="1" t="s">
        <v>448</v>
      </c>
      <c r="D21" s="1" t="s">
        <v>27</v>
      </c>
      <c r="E21" s="1" t="s">
        <v>449</v>
      </c>
      <c r="F21" s="1" t="s">
        <v>528</v>
      </c>
      <c r="G21" s="1" t="s">
        <v>565</v>
      </c>
      <c r="H21" s="1" t="s">
        <v>566</v>
      </c>
      <c r="I21" s="1" t="s">
        <v>567</v>
      </c>
      <c r="J21" s="1" t="s">
        <v>568</v>
      </c>
      <c r="K21" s="1" t="s">
        <v>569</v>
      </c>
      <c r="L21" s="1"/>
      <c r="M21" s="1"/>
      <c r="N21" s="1" t="s">
        <v>407</v>
      </c>
      <c r="O21" s="1">
        <v>13</v>
      </c>
      <c r="P21" s="1" t="s">
        <v>528</v>
      </c>
      <c r="Q21" s="1" t="s">
        <v>272</v>
      </c>
      <c r="R21" s="1" t="s">
        <v>370</v>
      </c>
      <c r="S21" s="1" t="s">
        <v>408</v>
      </c>
      <c r="T21" s="1" t="s">
        <v>49</v>
      </c>
      <c r="U21" s="1" t="s">
        <v>565</v>
      </c>
      <c r="V21" s="1" t="s">
        <v>567</v>
      </c>
      <c r="W21" s="1" t="s">
        <v>568</v>
      </c>
      <c r="X21" s="1" t="s">
        <v>569</v>
      </c>
      <c r="Y21" s="1"/>
    </row>
    <row r="22" spans="1:25" ht="42.75" hidden="1">
      <c r="A22" s="1" t="s">
        <v>570</v>
      </c>
      <c r="B22" s="1" t="s">
        <v>271</v>
      </c>
      <c r="C22" s="1" t="s">
        <v>448</v>
      </c>
      <c r="D22" s="1" t="s">
        <v>27</v>
      </c>
      <c r="E22" s="1" t="s">
        <v>449</v>
      </c>
      <c r="F22" s="1" t="s">
        <v>528</v>
      </c>
      <c r="G22" s="1" t="s">
        <v>571</v>
      </c>
      <c r="H22" s="1" t="s">
        <v>572</v>
      </c>
      <c r="I22" s="1" t="s">
        <v>573</v>
      </c>
      <c r="J22" s="1" t="s">
        <v>574</v>
      </c>
      <c r="K22" s="1" t="s">
        <v>575</v>
      </c>
      <c r="L22" s="1"/>
      <c r="M22" s="1"/>
      <c r="N22" s="1" t="s">
        <v>407</v>
      </c>
      <c r="O22" s="1">
        <v>14</v>
      </c>
      <c r="P22" s="1" t="s">
        <v>528</v>
      </c>
      <c r="Q22" s="1" t="s">
        <v>272</v>
      </c>
      <c r="R22" s="1" t="s">
        <v>370</v>
      </c>
      <c r="S22" s="1" t="s">
        <v>408</v>
      </c>
      <c r="T22" s="1" t="s">
        <v>49</v>
      </c>
      <c r="U22" s="1" t="s">
        <v>571</v>
      </c>
      <c r="V22" s="1" t="s">
        <v>573</v>
      </c>
      <c r="W22" s="1" t="s">
        <v>574</v>
      </c>
      <c r="X22" s="1" t="s">
        <v>575</v>
      </c>
      <c r="Y22" s="1"/>
    </row>
    <row r="23" spans="1:25" ht="57" hidden="1">
      <c r="A23" s="1" t="s">
        <v>576</v>
      </c>
      <c r="B23" s="1"/>
      <c r="C23" s="1" t="s">
        <v>448</v>
      </c>
      <c r="D23" s="1" t="s">
        <v>36</v>
      </c>
      <c r="E23" s="1" t="s">
        <v>577</v>
      </c>
      <c r="F23" s="1"/>
      <c r="G23" s="1"/>
      <c r="H23" s="1" t="s">
        <v>578</v>
      </c>
      <c r="I23" s="1" t="s">
        <v>579</v>
      </c>
      <c r="J23" s="1" t="s">
        <v>580</v>
      </c>
      <c r="K23" s="1"/>
      <c r="L23" s="1"/>
      <c r="M23" s="1"/>
      <c r="N23" s="1" t="s">
        <v>581</v>
      </c>
      <c r="O23" s="1">
        <v>6</v>
      </c>
      <c r="P23" s="1" t="s">
        <v>582</v>
      </c>
      <c r="Q23" s="1" t="s">
        <v>150</v>
      </c>
      <c r="R23" s="1" t="s">
        <v>370</v>
      </c>
      <c r="S23" s="1" t="s">
        <v>388</v>
      </c>
      <c r="T23" s="1" t="s">
        <v>583</v>
      </c>
      <c r="U23" s="1"/>
      <c r="V23" s="1" t="s">
        <v>579</v>
      </c>
      <c r="W23" s="1" t="s">
        <v>580</v>
      </c>
      <c r="X23" s="1"/>
      <c r="Y23" s="1" t="s">
        <v>584</v>
      </c>
    </row>
    <row r="24" spans="1:25" ht="28.5" hidden="1">
      <c r="A24" s="1" t="s">
        <v>585</v>
      </c>
      <c r="B24" s="1"/>
      <c r="C24" s="1" t="s">
        <v>448</v>
      </c>
      <c r="D24" s="1" t="s">
        <v>36</v>
      </c>
      <c r="E24" s="1" t="s">
        <v>586</v>
      </c>
      <c r="F24" s="1"/>
      <c r="G24" s="1"/>
      <c r="H24" s="1" t="s">
        <v>587</v>
      </c>
      <c r="I24" s="1" t="s">
        <v>588</v>
      </c>
      <c r="J24" s="1" t="s">
        <v>589</v>
      </c>
      <c r="K24" s="1" t="s">
        <v>590</v>
      </c>
      <c r="L24" s="1"/>
      <c r="M24" s="1"/>
      <c r="N24" s="1" t="s">
        <v>581</v>
      </c>
      <c r="O24" s="1">
        <v>7</v>
      </c>
      <c r="P24" s="1" t="s">
        <v>582</v>
      </c>
      <c r="Q24" s="1" t="s">
        <v>150</v>
      </c>
      <c r="R24" s="1" t="s">
        <v>370</v>
      </c>
      <c r="S24" s="1" t="s">
        <v>388</v>
      </c>
      <c r="T24" s="1" t="s">
        <v>583</v>
      </c>
      <c r="U24" s="1"/>
      <c r="V24" s="1" t="s">
        <v>588</v>
      </c>
      <c r="W24" s="1" t="s">
        <v>589</v>
      </c>
      <c r="X24" s="1" t="s">
        <v>590</v>
      </c>
      <c r="Y24" s="1" t="s">
        <v>591</v>
      </c>
    </row>
    <row r="25" spans="1:25" ht="28.5" hidden="1">
      <c r="A25" s="1" t="s">
        <v>592</v>
      </c>
      <c r="B25" s="1"/>
      <c r="C25" s="1" t="s">
        <v>448</v>
      </c>
      <c r="D25" s="1" t="s">
        <v>36</v>
      </c>
      <c r="E25" s="1" t="s">
        <v>586</v>
      </c>
      <c r="F25" s="1"/>
      <c r="G25" s="1"/>
      <c r="H25" s="1" t="s">
        <v>593</v>
      </c>
      <c r="I25" s="1" t="s">
        <v>594</v>
      </c>
      <c r="J25" s="1" t="s">
        <v>595</v>
      </c>
      <c r="K25" s="1" t="s">
        <v>596</v>
      </c>
      <c r="L25" s="1"/>
      <c r="M25" s="1"/>
      <c r="N25" s="1" t="s">
        <v>581</v>
      </c>
      <c r="O25" s="1">
        <v>8</v>
      </c>
      <c r="P25" s="1" t="s">
        <v>582</v>
      </c>
      <c r="Q25" s="1" t="s">
        <v>150</v>
      </c>
      <c r="R25" s="1" t="s">
        <v>370</v>
      </c>
      <c r="S25" s="1" t="s">
        <v>388</v>
      </c>
      <c r="T25" s="1" t="s">
        <v>583</v>
      </c>
      <c r="U25" s="1"/>
      <c r="V25" s="1" t="s">
        <v>594</v>
      </c>
      <c r="W25" s="1" t="s">
        <v>595</v>
      </c>
      <c r="X25" s="1" t="s">
        <v>596</v>
      </c>
      <c r="Y25" s="1" t="s">
        <v>591</v>
      </c>
    </row>
    <row r="26" spans="1:25" ht="28.5" hidden="1">
      <c r="A26" s="1" t="s">
        <v>597</v>
      </c>
      <c r="B26" s="1"/>
      <c r="C26" s="1" t="s">
        <v>448</v>
      </c>
      <c r="D26" s="1" t="s">
        <v>36</v>
      </c>
      <c r="E26" s="1" t="s">
        <v>586</v>
      </c>
      <c r="F26" s="1"/>
      <c r="G26" s="1"/>
      <c r="H26" s="1" t="s">
        <v>598</v>
      </c>
      <c r="I26" s="1" t="s">
        <v>599</v>
      </c>
      <c r="J26" s="1" t="s">
        <v>600</v>
      </c>
      <c r="K26" s="1" t="s">
        <v>601</v>
      </c>
      <c r="L26" s="1"/>
      <c r="M26" s="1"/>
      <c r="N26" s="1" t="s">
        <v>581</v>
      </c>
      <c r="O26" s="1">
        <v>9</v>
      </c>
      <c r="P26" s="1" t="s">
        <v>582</v>
      </c>
      <c r="Q26" s="1" t="s">
        <v>150</v>
      </c>
      <c r="R26" s="1" t="s">
        <v>370</v>
      </c>
      <c r="S26" s="1" t="s">
        <v>388</v>
      </c>
      <c r="T26" s="1" t="s">
        <v>583</v>
      </c>
      <c r="U26" s="1"/>
      <c r="V26" s="1" t="s">
        <v>599</v>
      </c>
      <c r="W26" s="1" t="s">
        <v>600</v>
      </c>
      <c r="X26" s="1" t="s">
        <v>601</v>
      </c>
      <c r="Y26" s="1" t="s">
        <v>591</v>
      </c>
    </row>
    <row r="27" spans="1:25" ht="57" hidden="1">
      <c r="A27" s="1" t="s">
        <v>602</v>
      </c>
      <c r="B27" s="1"/>
      <c r="C27" s="1" t="s">
        <v>448</v>
      </c>
      <c r="D27" s="1" t="s">
        <v>36</v>
      </c>
      <c r="E27" s="1" t="s">
        <v>586</v>
      </c>
      <c r="F27" s="1"/>
      <c r="G27" s="1"/>
      <c r="H27" s="1" t="s">
        <v>603</v>
      </c>
      <c r="I27" s="1" t="s">
        <v>604</v>
      </c>
      <c r="J27" s="1" t="s">
        <v>605</v>
      </c>
      <c r="K27" s="1" t="s">
        <v>606</v>
      </c>
      <c r="L27" s="1"/>
      <c r="M27" s="1"/>
      <c r="N27" s="1" t="s">
        <v>581</v>
      </c>
      <c r="O27" s="1">
        <v>10</v>
      </c>
      <c r="P27" s="1" t="s">
        <v>582</v>
      </c>
      <c r="Q27" s="1" t="s">
        <v>150</v>
      </c>
      <c r="R27" s="1" t="s">
        <v>370</v>
      </c>
      <c r="S27" s="1" t="s">
        <v>388</v>
      </c>
      <c r="T27" s="1" t="s">
        <v>583</v>
      </c>
      <c r="U27" s="1"/>
      <c r="V27" s="1" t="s">
        <v>604</v>
      </c>
      <c r="W27" s="1" t="s">
        <v>605</v>
      </c>
      <c r="X27" s="1" t="s">
        <v>606</v>
      </c>
      <c r="Y27" s="1" t="s">
        <v>591</v>
      </c>
    </row>
    <row r="28" spans="1:25" ht="42.75" hidden="1">
      <c r="A28" s="1" t="s">
        <v>607</v>
      </c>
      <c r="B28" s="1"/>
      <c r="C28" s="1" t="s">
        <v>448</v>
      </c>
      <c r="D28" s="1" t="s">
        <v>36</v>
      </c>
      <c r="E28" s="1" t="s">
        <v>586</v>
      </c>
      <c r="F28" s="1"/>
      <c r="G28" s="1"/>
      <c r="H28" s="1" t="s">
        <v>608</v>
      </c>
      <c r="I28" s="1" t="s">
        <v>609</v>
      </c>
      <c r="J28" s="1" t="s">
        <v>610</v>
      </c>
      <c r="K28" s="1" t="s">
        <v>611</v>
      </c>
      <c r="L28" s="1"/>
      <c r="M28" s="1"/>
      <c r="N28" s="1" t="s">
        <v>581</v>
      </c>
      <c r="O28" s="1">
        <v>11</v>
      </c>
      <c r="P28" s="1" t="s">
        <v>582</v>
      </c>
      <c r="Q28" s="1" t="s">
        <v>150</v>
      </c>
      <c r="R28" s="1" t="s">
        <v>370</v>
      </c>
      <c r="S28" s="1" t="s">
        <v>388</v>
      </c>
      <c r="T28" s="1" t="s">
        <v>583</v>
      </c>
      <c r="U28" s="1"/>
      <c r="V28" s="1" t="s">
        <v>609</v>
      </c>
      <c r="W28" s="1" t="s">
        <v>610</v>
      </c>
      <c r="X28" s="1" t="s">
        <v>611</v>
      </c>
      <c r="Y28" s="1" t="s">
        <v>591</v>
      </c>
    </row>
    <row r="29" spans="1:25" ht="57" hidden="1">
      <c r="A29" s="1" t="s">
        <v>612</v>
      </c>
      <c r="B29" s="1"/>
      <c r="C29" s="1" t="s">
        <v>448</v>
      </c>
      <c r="D29" s="1" t="s">
        <v>36</v>
      </c>
      <c r="E29" s="1" t="s">
        <v>586</v>
      </c>
      <c r="F29" s="1"/>
      <c r="G29" s="1"/>
      <c r="H29" s="1" t="s">
        <v>613</v>
      </c>
      <c r="I29" s="1" t="s">
        <v>614</v>
      </c>
      <c r="J29" s="1"/>
      <c r="K29" s="1" t="s">
        <v>615</v>
      </c>
      <c r="L29" s="1"/>
      <c r="M29" s="1"/>
      <c r="N29" s="1" t="s">
        <v>581</v>
      </c>
      <c r="O29" s="1">
        <v>12</v>
      </c>
      <c r="P29" s="1" t="s">
        <v>582</v>
      </c>
      <c r="Q29" s="1" t="s">
        <v>150</v>
      </c>
      <c r="R29" s="1" t="s">
        <v>370</v>
      </c>
      <c r="S29" s="1" t="s">
        <v>388</v>
      </c>
      <c r="T29" s="1" t="s">
        <v>583</v>
      </c>
      <c r="U29" s="1"/>
      <c r="V29" s="1" t="s">
        <v>614</v>
      </c>
      <c r="W29" s="1"/>
      <c r="X29" s="1" t="s">
        <v>615</v>
      </c>
      <c r="Y29" s="1" t="s">
        <v>591</v>
      </c>
    </row>
    <row r="30" spans="1:25" ht="28.5" hidden="1">
      <c r="A30" s="1" t="s">
        <v>616</v>
      </c>
      <c r="B30" s="1"/>
      <c r="C30" s="1" t="s">
        <v>448</v>
      </c>
      <c r="D30" s="1" t="s">
        <v>36</v>
      </c>
      <c r="E30" s="1" t="s">
        <v>586</v>
      </c>
      <c r="F30" s="1"/>
      <c r="G30" s="1"/>
      <c r="H30" s="1" t="s">
        <v>617</v>
      </c>
      <c r="I30" s="1" t="s">
        <v>618</v>
      </c>
      <c r="J30" s="1" t="s">
        <v>619</v>
      </c>
      <c r="K30" s="1" t="s">
        <v>568</v>
      </c>
      <c r="L30" s="1"/>
      <c r="M30" s="1"/>
      <c r="N30" s="1" t="s">
        <v>581</v>
      </c>
      <c r="O30" s="1">
        <v>13</v>
      </c>
      <c r="P30" s="1" t="s">
        <v>582</v>
      </c>
      <c r="Q30" s="1" t="s">
        <v>150</v>
      </c>
      <c r="R30" s="1" t="s">
        <v>370</v>
      </c>
      <c r="S30" s="1" t="s">
        <v>388</v>
      </c>
      <c r="T30" s="1" t="s">
        <v>583</v>
      </c>
      <c r="U30" s="1"/>
      <c r="V30" s="1" t="s">
        <v>618</v>
      </c>
      <c r="W30" s="1" t="s">
        <v>619</v>
      </c>
      <c r="X30" s="1" t="s">
        <v>568</v>
      </c>
      <c r="Y30" s="1" t="s">
        <v>591</v>
      </c>
    </row>
    <row r="31" spans="1:25" ht="42.75" hidden="1">
      <c r="A31" s="1" t="s">
        <v>620</v>
      </c>
      <c r="B31" s="1"/>
      <c r="C31" s="1" t="s">
        <v>448</v>
      </c>
      <c r="D31" s="1" t="s">
        <v>36</v>
      </c>
      <c r="E31" s="1" t="s">
        <v>586</v>
      </c>
      <c r="F31" s="1"/>
      <c r="G31" s="1"/>
      <c r="H31" s="1" t="s">
        <v>621</v>
      </c>
      <c r="I31" s="1" t="s">
        <v>622</v>
      </c>
      <c r="J31" s="1" t="s">
        <v>568</v>
      </c>
      <c r="K31" s="1" t="s">
        <v>623</v>
      </c>
      <c r="L31" s="1"/>
      <c r="M31" s="1"/>
      <c r="N31" s="1" t="s">
        <v>581</v>
      </c>
      <c r="O31" s="1">
        <v>14</v>
      </c>
      <c r="P31" s="1" t="s">
        <v>582</v>
      </c>
      <c r="Q31" s="1" t="s">
        <v>150</v>
      </c>
      <c r="R31" s="1" t="s">
        <v>370</v>
      </c>
      <c r="S31" s="1" t="s">
        <v>388</v>
      </c>
      <c r="T31" s="1" t="s">
        <v>583</v>
      </c>
      <c r="U31" s="1"/>
      <c r="V31" s="1" t="s">
        <v>622</v>
      </c>
      <c r="W31" s="1" t="s">
        <v>568</v>
      </c>
      <c r="X31" s="1" t="s">
        <v>623</v>
      </c>
      <c r="Y31" s="1" t="s">
        <v>591</v>
      </c>
    </row>
    <row r="32" spans="1:25" ht="28.5" hidden="1">
      <c r="A32" s="1" t="s">
        <v>624</v>
      </c>
      <c r="B32" s="1"/>
      <c r="C32" s="1" t="s">
        <v>448</v>
      </c>
      <c r="D32" s="1" t="s">
        <v>36</v>
      </c>
      <c r="E32" s="1" t="s">
        <v>586</v>
      </c>
      <c r="F32" s="1"/>
      <c r="G32" s="1"/>
      <c r="H32" s="1" t="s">
        <v>625</v>
      </c>
      <c r="I32" s="1" t="s">
        <v>626</v>
      </c>
      <c r="J32" s="1" t="s">
        <v>415</v>
      </c>
      <c r="K32" s="1"/>
      <c r="L32" s="1"/>
      <c r="M32" s="1"/>
      <c r="N32" s="1" t="s">
        <v>581</v>
      </c>
      <c r="O32" s="1">
        <v>15</v>
      </c>
      <c r="P32" s="1" t="s">
        <v>582</v>
      </c>
      <c r="Q32" s="1" t="s">
        <v>150</v>
      </c>
      <c r="R32" s="1" t="s">
        <v>370</v>
      </c>
      <c r="S32" s="1" t="s">
        <v>388</v>
      </c>
      <c r="T32" s="1" t="s">
        <v>583</v>
      </c>
      <c r="U32" s="1"/>
      <c r="V32" s="1" t="s">
        <v>626</v>
      </c>
      <c r="W32" s="1" t="s">
        <v>415</v>
      </c>
      <c r="X32" s="1"/>
      <c r="Y32" s="1" t="s">
        <v>591</v>
      </c>
    </row>
    <row r="33" spans="1:25" ht="42.75" hidden="1">
      <c r="A33" s="1" t="s">
        <v>627</v>
      </c>
      <c r="B33" s="1"/>
      <c r="C33" s="1" t="s">
        <v>448</v>
      </c>
      <c r="D33" s="1" t="s">
        <v>36</v>
      </c>
      <c r="E33" s="1" t="s">
        <v>586</v>
      </c>
      <c r="F33" s="1"/>
      <c r="G33" s="1"/>
      <c r="H33" s="1" t="s">
        <v>628</v>
      </c>
      <c r="I33" s="1" t="s">
        <v>629</v>
      </c>
      <c r="J33" s="1" t="s">
        <v>630</v>
      </c>
      <c r="K33" s="1" t="s">
        <v>631</v>
      </c>
      <c r="L33" s="1"/>
      <c r="M33" s="1"/>
      <c r="N33" s="1" t="s">
        <v>581</v>
      </c>
      <c r="O33" s="1">
        <v>16</v>
      </c>
      <c r="P33" s="1" t="s">
        <v>582</v>
      </c>
      <c r="Q33" s="1" t="s">
        <v>150</v>
      </c>
      <c r="R33" s="1" t="s">
        <v>370</v>
      </c>
      <c r="S33" s="1" t="s">
        <v>388</v>
      </c>
      <c r="T33" s="1" t="s">
        <v>583</v>
      </c>
      <c r="U33" s="1"/>
      <c r="V33" s="1" t="s">
        <v>629</v>
      </c>
      <c r="W33" s="1" t="s">
        <v>630</v>
      </c>
      <c r="X33" s="1" t="s">
        <v>631</v>
      </c>
      <c r="Y33" s="1" t="s">
        <v>591</v>
      </c>
    </row>
    <row r="34" spans="1:25" ht="28.5" hidden="1">
      <c r="A34" s="1" t="s">
        <v>632</v>
      </c>
      <c r="B34" s="1"/>
      <c r="C34" s="1" t="s">
        <v>448</v>
      </c>
      <c r="D34" s="1" t="s">
        <v>36</v>
      </c>
      <c r="E34" s="1" t="s">
        <v>586</v>
      </c>
      <c r="F34" s="1"/>
      <c r="G34" s="1"/>
      <c r="H34" s="1" t="s">
        <v>633</v>
      </c>
      <c r="I34" s="1" t="s">
        <v>634</v>
      </c>
      <c r="J34" s="1" t="s">
        <v>635</v>
      </c>
      <c r="K34" s="1" t="s">
        <v>636</v>
      </c>
      <c r="L34" s="1"/>
      <c r="M34" s="1"/>
      <c r="N34" s="1" t="s">
        <v>581</v>
      </c>
      <c r="O34" s="1">
        <v>17</v>
      </c>
      <c r="P34" s="1" t="s">
        <v>582</v>
      </c>
      <c r="Q34" s="1" t="s">
        <v>150</v>
      </c>
      <c r="R34" s="1" t="s">
        <v>370</v>
      </c>
      <c r="S34" s="1" t="s">
        <v>388</v>
      </c>
      <c r="T34" s="1" t="s">
        <v>583</v>
      </c>
      <c r="U34" s="1"/>
      <c r="V34" s="1" t="s">
        <v>634</v>
      </c>
      <c r="W34" s="1" t="s">
        <v>635</v>
      </c>
      <c r="X34" s="1" t="s">
        <v>636</v>
      </c>
      <c r="Y34" s="1" t="s">
        <v>591</v>
      </c>
    </row>
    <row r="35" spans="1:25" ht="28.5" hidden="1">
      <c r="A35" s="1" t="s">
        <v>637</v>
      </c>
      <c r="B35" s="1" t="s">
        <v>149</v>
      </c>
      <c r="C35" s="1" t="s">
        <v>448</v>
      </c>
      <c r="D35" s="1" t="s">
        <v>27</v>
      </c>
      <c r="E35" s="1" t="s">
        <v>449</v>
      </c>
      <c r="F35" s="1" t="s">
        <v>498</v>
      </c>
      <c r="G35" s="1" t="s">
        <v>475</v>
      </c>
      <c r="H35" s="1" t="s">
        <v>625</v>
      </c>
      <c r="I35" s="1" t="s">
        <v>638</v>
      </c>
      <c r="J35" s="1" t="s">
        <v>415</v>
      </c>
      <c r="K35" s="1"/>
      <c r="L35" s="1"/>
      <c r="M35" s="1"/>
      <c r="N35" s="1" t="s">
        <v>389</v>
      </c>
      <c r="O35" s="1">
        <v>6</v>
      </c>
      <c r="P35" s="1" t="s">
        <v>498</v>
      </c>
      <c r="Q35" s="1" t="s">
        <v>150</v>
      </c>
      <c r="R35" s="1" t="s">
        <v>370</v>
      </c>
      <c r="S35" s="1" t="s">
        <v>388</v>
      </c>
      <c r="T35" s="1" t="s">
        <v>49</v>
      </c>
      <c r="U35" s="1" t="s">
        <v>475</v>
      </c>
      <c r="V35" s="1" t="s">
        <v>638</v>
      </c>
      <c r="W35" s="1" t="s">
        <v>415</v>
      </c>
      <c r="X35" s="1"/>
      <c r="Y35" s="1"/>
    </row>
    <row r="36" spans="1:25" ht="28.5" hidden="1">
      <c r="A36" s="1" t="s">
        <v>639</v>
      </c>
      <c r="B36" s="1" t="s">
        <v>149</v>
      </c>
      <c r="C36" s="1" t="s">
        <v>448</v>
      </c>
      <c r="D36" s="1" t="s">
        <v>27</v>
      </c>
      <c r="E36" s="1" t="s">
        <v>449</v>
      </c>
      <c r="F36" s="1" t="s">
        <v>498</v>
      </c>
      <c r="G36" s="1" t="s">
        <v>481</v>
      </c>
      <c r="H36" s="1" t="s">
        <v>633</v>
      </c>
      <c r="I36" s="1" t="s">
        <v>634</v>
      </c>
      <c r="J36" s="1" t="s">
        <v>635</v>
      </c>
      <c r="K36" s="1" t="s">
        <v>636</v>
      </c>
      <c r="L36" s="1"/>
      <c r="M36" s="1"/>
      <c r="N36" s="1" t="s">
        <v>389</v>
      </c>
      <c r="O36" s="1">
        <v>7</v>
      </c>
      <c r="P36" s="1" t="s">
        <v>498</v>
      </c>
      <c r="Q36" s="1" t="s">
        <v>150</v>
      </c>
      <c r="R36" s="1" t="s">
        <v>370</v>
      </c>
      <c r="S36" s="1" t="s">
        <v>388</v>
      </c>
      <c r="T36" s="1" t="s">
        <v>49</v>
      </c>
      <c r="U36" s="1" t="s">
        <v>481</v>
      </c>
      <c r="V36" s="1" t="s">
        <v>634</v>
      </c>
      <c r="W36" s="1" t="s">
        <v>635</v>
      </c>
      <c r="X36" s="1" t="s">
        <v>636</v>
      </c>
      <c r="Y36" s="1"/>
    </row>
    <row r="37" spans="1:25" ht="42.75" hidden="1">
      <c r="A37" s="1" t="s">
        <v>640</v>
      </c>
      <c r="B37" s="1" t="s">
        <v>149</v>
      </c>
      <c r="C37" s="1" t="s">
        <v>448</v>
      </c>
      <c r="D37" s="1" t="s">
        <v>27</v>
      </c>
      <c r="E37" s="1" t="s">
        <v>449</v>
      </c>
      <c r="F37" s="1" t="s">
        <v>498</v>
      </c>
      <c r="G37" s="1" t="s">
        <v>641</v>
      </c>
      <c r="H37" s="1" t="s">
        <v>628</v>
      </c>
      <c r="I37" s="1" t="s">
        <v>642</v>
      </c>
      <c r="J37" s="1" t="s">
        <v>630</v>
      </c>
      <c r="K37" s="1" t="s">
        <v>631</v>
      </c>
      <c r="L37" s="1"/>
      <c r="M37" s="1"/>
      <c r="N37" s="1" t="s">
        <v>389</v>
      </c>
      <c r="O37" s="1">
        <v>8</v>
      </c>
      <c r="P37" s="1" t="s">
        <v>498</v>
      </c>
      <c r="Q37" s="1" t="s">
        <v>150</v>
      </c>
      <c r="R37" s="1" t="s">
        <v>370</v>
      </c>
      <c r="S37" s="1" t="s">
        <v>388</v>
      </c>
      <c r="T37" s="1" t="s">
        <v>49</v>
      </c>
      <c r="U37" s="1" t="s">
        <v>641</v>
      </c>
      <c r="V37" s="1" t="s">
        <v>642</v>
      </c>
      <c r="W37" s="1" t="s">
        <v>630</v>
      </c>
      <c r="X37" s="1" t="s">
        <v>631</v>
      </c>
      <c r="Y37" s="1"/>
    </row>
    <row r="38" spans="1:25" ht="57" hidden="1">
      <c r="A38" s="1" t="s">
        <v>643</v>
      </c>
      <c r="B38" s="1"/>
      <c r="C38" s="1" t="s">
        <v>448</v>
      </c>
      <c r="D38" s="1" t="s">
        <v>36</v>
      </c>
      <c r="E38" s="1" t="s">
        <v>577</v>
      </c>
      <c r="F38" s="1"/>
      <c r="G38" s="1"/>
      <c r="H38" s="1" t="s">
        <v>578</v>
      </c>
      <c r="I38" s="1" t="s">
        <v>644</v>
      </c>
      <c r="J38" s="1" t="s">
        <v>580</v>
      </c>
      <c r="K38" s="1"/>
      <c r="L38" s="1"/>
      <c r="M38" s="1"/>
      <c r="N38" s="1" t="s">
        <v>389</v>
      </c>
      <c r="O38" s="1">
        <v>9</v>
      </c>
      <c r="P38" s="1" t="s">
        <v>498</v>
      </c>
      <c r="Q38" s="1" t="s">
        <v>150</v>
      </c>
      <c r="R38" s="1" t="s">
        <v>370</v>
      </c>
      <c r="S38" s="1" t="s">
        <v>388</v>
      </c>
      <c r="T38" s="1" t="s">
        <v>49</v>
      </c>
      <c r="U38" s="1" t="s">
        <v>645</v>
      </c>
      <c r="V38" s="1" t="s">
        <v>644</v>
      </c>
      <c r="W38" s="1" t="s">
        <v>580</v>
      </c>
      <c r="X38" s="1"/>
      <c r="Y38" s="1" t="s">
        <v>646</v>
      </c>
    </row>
    <row r="39" spans="1:25" ht="28.5" hidden="1">
      <c r="A39" s="1" t="s">
        <v>647</v>
      </c>
      <c r="B39" s="1" t="s">
        <v>198</v>
      </c>
      <c r="C39" s="1" t="s">
        <v>448</v>
      </c>
      <c r="D39" s="1" t="s">
        <v>27</v>
      </c>
      <c r="E39" s="1" t="s">
        <v>449</v>
      </c>
      <c r="F39" s="1" t="s">
        <v>450</v>
      </c>
      <c r="G39" s="1" t="s">
        <v>529</v>
      </c>
      <c r="H39" s="1" t="s">
        <v>587</v>
      </c>
      <c r="I39" s="1" t="s">
        <v>648</v>
      </c>
      <c r="J39" s="1" t="s">
        <v>589</v>
      </c>
      <c r="K39" s="1" t="s">
        <v>590</v>
      </c>
      <c r="L39" s="1"/>
      <c r="M39" s="1"/>
      <c r="N39" s="1" t="s">
        <v>398</v>
      </c>
      <c r="O39" s="1">
        <v>6</v>
      </c>
      <c r="P39" s="1" t="s">
        <v>450</v>
      </c>
      <c r="Q39" s="1" t="s">
        <v>150</v>
      </c>
      <c r="R39" s="1" t="s">
        <v>370</v>
      </c>
      <c r="S39" s="1" t="s">
        <v>388</v>
      </c>
      <c r="T39" s="1" t="s">
        <v>504</v>
      </c>
      <c r="U39" s="1" t="s">
        <v>529</v>
      </c>
      <c r="V39" s="1" t="s">
        <v>648</v>
      </c>
      <c r="W39" s="1" t="s">
        <v>589</v>
      </c>
      <c r="X39" s="1" t="s">
        <v>590</v>
      </c>
      <c r="Y39" s="1"/>
    </row>
    <row r="40" spans="1:25" ht="28.5" hidden="1">
      <c r="A40" s="1" t="s">
        <v>649</v>
      </c>
      <c r="B40" s="1" t="s">
        <v>198</v>
      </c>
      <c r="C40" s="1" t="s">
        <v>448</v>
      </c>
      <c r="D40" s="1" t="s">
        <v>27</v>
      </c>
      <c r="E40" s="1" t="s">
        <v>449</v>
      </c>
      <c r="F40" s="1" t="s">
        <v>450</v>
      </c>
      <c r="G40" s="1" t="s">
        <v>650</v>
      </c>
      <c r="H40" s="1" t="s">
        <v>593</v>
      </c>
      <c r="I40" s="1" t="s">
        <v>594</v>
      </c>
      <c r="J40" s="1" t="s">
        <v>595</v>
      </c>
      <c r="K40" s="1" t="s">
        <v>596</v>
      </c>
      <c r="L40" s="1"/>
      <c r="M40" s="1"/>
      <c r="N40" s="1" t="s">
        <v>398</v>
      </c>
      <c r="O40" s="1">
        <v>7</v>
      </c>
      <c r="P40" s="1" t="s">
        <v>450</v>
      </c>
      <c r="Q40" s="1" t="s">
        <v>150</v>
      </c>
      <c r="R40" s="1" t="s">
        <v>370</v>
      </c>
      <c r="S40" s="1" t="s">
        <v>388</v>
      </c>
      <c r="T40" s="1" t="s">
        <v>504</v>
      </c>
      <c r="U40" s="1" t="s">
        <v>650</v>
      </c>
      <c r="V40" s="1" t="s">
        <v>594</v>
      </c>
      <c r="W40" s="1" t="s">
        <v>595</v>
      </c>
      <c r="X40" s="1" t="s">
        <v>596</v>
      </c>
      <c r="Y40" s="1"/>
    </row>
    <row r="41" spans="1:25" ht="42.75" hidden="1">
      <c r="A41" s="1" t="s">
        <v>651</v>
      </c>
      <c r="B41" s="1" t="s">
        <v>198</v>
      </c>
      <c r="C41" s="1" t="s">
        <v>448</v>
      </c>
      <c r="D41" s="1" t="s">
        <v>27</v>
      </c>
      <c r="E41" s="1" t="s">
        <v>449</v>
      </c>
      <c r="F41" s="1" t="s">
        <v>450</v>
      </c>
      <c r="G41" s="1" t="s">
        <v>541</v>
      </c>
      <c r="H41" s="1" t="s">
        <v>608</v>
      </c>
      <c r="I41" s="1" t="s">
        <v>652</v>
      </c>
      <c r="J41" s="1" t="s">
        <v>610</v>
      </c>
      <c r="K41" s="1" t="s">
        <v>611</v>
      </c>
      <c r="L41" s="1"/>
      <c r="M41" s="1"/>
      <c r="N41" s="1" t="s">
        <v>398</v>
      </c>
      <c r="O41" s="1">
        <v>8</v>
      </c>
      <c r="P41" s="1" t="s">
        <v>450</v>
      </c>
      <c r="Q41" s="1" t="s">
        <v>150</v>
      </c>
      <c r="R41" s="1" t="s">
        <v>370</v>
      </c>
      <c r="S41" s="1" t="s">
        <v>388</v>
      </c>
      <c r="T41" s="1" t="s">
        <v>504</v>
      </c>
      <c r="U41" s="1" t="s">
        <v>541</v>
      </c>
      <c r="V41" s="1" t="s">
        <v>652</v>
      </c>
      <c r="W41" s="1" t="s">
        <v>610</v>
      </c>
      <c r="X41" s="1" t="s">
        <v>611</v>
      </c>
      <c r="Y41" s="1"/>
    </row>
    <row r="42" spans="1:25" ht="28.5" hidden="1">
      <c r="A42" s="1" t="s">
        <v>653</v>
      </c>
      <c r="B42" s="1" t="s">
        <v>198</v>
      </c>
      <c r="C42" s="1" t="s">
        <v>448</v>
      </c>
      <c r="D42" s="1" t="s">
        <v>27</v>
      </c>
      <c r="E42" s="1" t="s">
        <v>449</v>
      </c>
      <c r="F42" s="1" t="s">
        <v>450</v>
      </c>
      <c r="G42" s="1" t="s">
        <v>547</v>
      </c>
      <c r="H42" s="1" t="s">
        <v>598</v>
      </c>
      <c r="I42" s="1" t="s">
        <v>599</v>
      </c>
      <c r="J42" s="1" t="s">
        <v>654</v>
      </c>
      <c r="K42" s="1" t="s">
        <v>601</v>
      </c>
      <c r="L42" s="1"/>
      <c r="M42" s="1"/>
      <c r="N42" s="1" t="s">
        <v>398</v>
      </c>
      <c r="O42" s="1">
        <v>9</v>
      </c>
      <c r="P42" s="1" t="s">
        <v>450</v>
      </c>
      <c r="Q42" s="1" t="s">
        <v>150</v>
      </c>
      <c r="R42" s="1" t="s">
        <v>370</v>
      </c>
      <c r="S42" s="1" t="s">
        <v>388</v>
      </c>
      <c r="T42" s="1" t="s">
        <v>504</v>
      </c>
      <c r="U42" s="1" t="s">
        <v>547</v>
      </c>
      <c r="V42" s="1" t="s">
        <v>599</v>
      </c>
      <c r="W42" s="1" t="s">
        <v>654</v>
      </c>
      <c r="X42" s="1" t="s">
        <v>601</v>
      </c>
      <c r="Y42" s="1"/>
    </row>
    <row r="43" spans="1:25" ht="57" hidden="1">
      <c r="A43" s="1" t="s">
        <v>655</v>
      </c>
      <c r="B43" s="1" t="s">
        <v>198</v>
      </c>
      <c r="C43" s="1" t="s">
        <v>448</v>
      </c>
      <c r="D43" s="1" t="s">
        <v>27</v>
      </c>
      <c r="E43" s="1" t="s">
        <v>449</v>
      </c>
      <c r="F43" s="1" t="s">
        <v>450</v>
      </c>
      <c r="G43" s="1" t="s">
        <v>553</v>
      </c>
      <c r="H43" s="1" t="s">
        <v>603</v>
      </c>
      <c r="I43" s="1" t="s">
        <v>656</v>
      </c>
      <c r="J43" s="1" t="s">
        <v>605</v>
      </c>
      <c r="K43" s="1" t="s">
        <v>606</v>
      </c>
      <c r="L43" s="1"/>
      <c r="M43" s="1"/>
      <c r="N43" s="1" t="s">
        <v>398</v>
      </c>
      <c r="O43" s="1">
        <v>10</v>
      </c>
      <c r="P43" s="1" t="s">
        <v>450</v>
      </c>
      <c r="Q43" s="1" t="s">
        <v>150</v>
      </c>
      <c r="R43" s="1" t="s">
        <v>370</v>
      </c>
      <c r="S43" s="1" t="s">
        <v>388</v>
      </c>
      <c r="T43" s="1" t="s">
        <v>504</v>
      </c>
      <c r="U43" s="1" t="s">
        <v>553</v>
      </c>
      <c r="V43" s="1" t="s">
        <v>656</v>
      </c>
      <c r="W43" s="1" t="s">
        <v>605</v>
      </c>
      <c r="X43" s="1" t="s">
        <v>606</v>
      </c>
      <c r="Y43" s="1"/>
    </row>
    <row r="44" spans="1:25" ht="42.75" hidden="1">
      <c r="A44" s="1" t="s">
        <v>657</v>
      </c>
      <c r="B44" s="1" t="s">
        <v>198</v>
      </c>
      <c r="C44" s="1" t="s">
        <v>448</v>
      </c>
      <c r="D44" s="1" t="s">
        <v>27</v>
      </c>
      <c r="E44" s="1" t="s">
        <v>449</v>
      </c>
      <c r="F44" s="1" t="s">
        <v>450</v>
      </c>
      <c r="G44" s="1" t="s">
        <v>559</v>
      </c>
      <c r="H44" s="1" t="s">
        <v>621</v>
      </c>
      <c r="I44" s="1" t="s">
        <v>622</v>
      </c>
      <c r="J44" s="1" t="s">
        <v>568</v>
      </c>
      <c r="K44" s="1" t="s">
        <v>623</v>
      </c>
      <c r="L44" s="1"/>
      <c r="M44" s="1"/>
      <c r="N44" s="1" t="s">
        <v>398</v>
      </c>
      <c r="O44" s="1">
        <v>11</v>
      </c>
      <c r="P44" s="1" t="s">
        <v>450</v>
      </c>
      <c r="Q44" s="1" t="s">
        <v>150</v>
      </c>
      <c r="R44" s="1" t="s">
        <v>370</v>
      </c>
      <c r="S44" s="1" t="s">
        <v>388</v>
      </c>
      <c r="T44" s="1" t="s">
        <v>504</v>
      </c>
      <c r="U44" s="1" t="s">
        <v>559</v>
      </c>
      <c r="V44" s="1" t="s">
        <v>622</v>
      </c>
      <c r="W44" s="1" t="s">
        <v>568</v>
      </c>
      <c r="X44" s="1" t="s">
        <v>623</v>
      </c>
      <c r="Y44" s="1"/>
    </row>
    <row r="45" spans="1:25" ht="28.5" hidden="1">
      <c r="A45" s="1" t="s">
        <v>658</v>
      </c>
      <c r="B45" s="1" t="s">
        <v>198</v>
      </c>
      <c r="C45" s="1" t="s">
        <v>448</v>
      </c>
      <c r="D45" s="1" t="s">
        <v>27</v>
      </c>
      <c r="E45" s="1" t="s">
        <v>449</v>
      </c>
      <c r="F45" s="1" t="s">
        <v>450</v>
      </c>
      <c r="G45" s="1" t="s">
        <v>565</v>
      </c>
      <c r="H45" s="1" t="s">
        <v>617</v>
      </c>
      <c r="I45" s="1" t="s">
        <v>618</v>
      </c>
      <c r="J45" s="1" t="s">
        <v>619</v>
      </c>
      <c r="K45" s="1" t="s">
        <v>568</v>
      </c>
      <c r="L45" s="1"/>
      <c r="M45" s="1"/>
      <c r="N45" s="1" t="s">
        <v>398</v>
      </c>
      <c r="O45" s="1">
        <v>12</v>
      </c>
      <c r="P45" s="1" t="s">
        <v>450</v>
      </c>
      <c r="Q45" s="1" t="s">
        <v>150</v>
      </c>
      <c r="R45" s="1" t="s">
        <v>370</v>
      </c>
      <c r="S45" s="1" t="s">
        <v>388</v>
      </c>
      <c r="T45" s="1" t="s">
        <v>504</v>
      </c>
      <c r="U45" s="1" t="s">
        <v>565</v>
      </c>
      <c r="V45" s="1" t="s">
        <v>618</v>
      </c>
      <c r="W45" s="1" t="s">
        <v>619</v>
      </c>
      <c r="X45" s="1" t="s">
        <v>568</v>
      </c>
      <c r="Y45" s="1"/>
    </row>
    <row r="46" spans="1:25" hidden="1">
      <c r="A46" s="1" t="s">
        <v>659</v>
      </c>
      <c r="B46" s="1" t="s">
        <v>277</v>
      </c>
      <c r="C46" s="1" t="s">
        <v>448</v>
      </c>
      <c r="D46" s="1" t="s">
        <v>27</v>
      </c>
      <c r="E46" s="1" t="s">
        <v>449</v>
      </c>
      <c r="F46" s="1" t="s">
        <v>528</v>
      </c>
      <c r="G46" s="1" t="s">
        <v>660</v>
      </c>
      <c r="H46" s="1" t="s">
        <v>661</v>
      </c>
      <c r="I46" s="1" t="s">
        <v>662</v>
      </c>
      <c r="J46" s="1" t="s">
        <v>663</v>
      </c>
      <c r="K46" s="1" t="s">
        <v>664</v>
      </c>
      <c r="L46" s="1"/>
      <c r="M46" s="1"/>
      <c r="N46" s="1" t="s">
        <v>410</v>
      </c>
      <c r="O46" s="1">
        <v>7</v>
      </c>
      <c r="P46" s="1" t="s">
        <v>528</v>
      </c>
      <c r="Q46" s="1" t="s">
        <v>278</v>
      </c>
      <c r="R46" s="1" t="s">
        <v>370</v>
      </c>
      <c r="S46" s="1" t="s">
        <v>409</v>
      </c>
      <c r="T46" s="1" t="s">
        <v>504</v>
      </c>
      <c r="U46" s="1" t="s">
        <v>660</v>
      </c>
      <c r="V46" s="1" t="s">
        <v>662</v>
      </c>
      <c r="W46" s="1" t="s">
        <v>663</v>
      </c>
      <c r="X46" s="1" t="s">
        <v>664</v>
      </c>
      <c r="Y46" s="1"/>
    </row>
    <row r="47" spans="1:25" ht="28.5" hidden="1">
      <c r="A47" s="1" t="s">
        <v>665</v>
      </c>
      <c r="B47" s="1" t="s">
        <v>277</v>
      </c>
      <c r="C47" s="1" t="s">
        <v>448</v>
      </c>
      <c r="D47" s="1" t="s">
        <v>27</v>
      </c>
      <c r="E47" s="1" t="s">
        <v>449</v>
      </c>
      <c r="F47" s="1" t="s">
        <v>528</v>
      </c>
      <c r="G47" s="1" t="s">
        <v>666</v>
      </c>
      <c r="H47" s="1" t="s">
        <v>667</v>
      </c>
      <c r="I47" s="1" t="s">
        <v>668</v>
      </c>
      <c r="J47" s="1" t="s">
        <v>669</v>
      </c>
      <c r="K47" s="1"/>
      <c r="L47" s="1"/>
      <c r="M47" s="1"/>
      <c r="N47" s="1" t="s">
        <v>410</v>
      </c>
      <c r="O47" s="1">
        <v>8</v>
      </c>
      <c r="P47" s="1" t="s">
        <v>528</v>
      </c>
      <c r="Q47" s="1" t="s">
        <v>278</v>
      </c>
      <c r="R47" s="1" t="s">
        <v>370</v>
      </c>
      <c r="S47" s="1" t="s">
        <v>409</v>
      </c>
      <c r="T47" s="1" t="s">
        <v>504</v>
      </c>
      <c r="U47" s="1" t="s">
        <v>666</v>
      </c>
      <c r="V47" s="1" t="s">
        <v>668</v>
      </c>
      <c r="W47" s="1" t="s">
        <v>669</v>
      </c>
      <c r="X47" s="1"/>
      <c r="Y47" s="1"/>
    </row>
    <row r="48" spans="1:25" ht="28.5" hidden="1">
      <c r="A48" s="1" t="s">
        <v>670</v>
      </c>
      <c r="B48" s="1" t="s">
        <v>277</v>
      </c>
      <c r="C48" s="1" t="s">
        <v>448</v>
      </c>
      <c r="D48" s="1" t="s">
        <v>27</v>
      </c>
      <c r="E48" s="1" t="s">
        <v>449</v>
      </c>
      <c r="F48" s="1" t="s">
        <v>528</v>
      </c>
      <c r="G48" s="1" t="s">
        <v>541</v>
      </c>
      <c r="H48" s="1" t="s">
        <v>671</v>
      </c>
      <c r="I48" s="1" t="s">
        <v>672</v>
      </c>
      <c r="J48" s="1" t="s">
        <v>673</v>
      </c>
      <c r="K48" s="1" t="s">
        <v>674</v>
      </c>
      <c r="L48" s="1"/>
      <c r="M48" s="1"/>
      <c r="N48" s="1" t="s">
        <v>410</v>
      </c>
      <c r="O48" s="1">
        <v>9</v>
      </c>
      <c r="P48" s="1" t="s">
        <v>528</v>
      </c>
      <c r="Q48" s="1" t="s">
        <v>278</v>
      </c>
      <c r="R48" s="1" t="s">
        <v>370</v>
      </c>
      <c r="S48" s="1" t="s">
        <v>409</v>
      </c>
      <c r="T48" s="1" t="s">
        <v>504</v>
      </c>
      <c r="U48" s="1" t="s">
        <v>541</v>
      </c>
      <c r="V48" s="1" t="s">
        <v>672</v>
      </c>
      <c r="W48" s="1" t="s">
        <v>673</v>
      </c>
      <c r="X48" s="1" t="s">
        <v>674</v>
      </c>
      <c r="Y48" s="1"/>
    </row>
    <row r="49" spans="1:25" ht="28.5" hidden="1">
      <c r="A49" s="1" t="s">
        <v>675</v>
      </c>
      <c r="B49" s="1" t="s">
        <v>277</v>
      </c>
      <c r="C49" s="1" t="s">
        <v>448</v>
      </c>
      <c r="D49" s="1" t="s">
        <v>27</v>
      </c>
      <c r="E49" s="1" t="s">
        <v>449</v>
      </c>
      <c r="F49" s="1" t="s">
        <v>528</v>
      </c>
      <c r="G49" s="1" t="s">
        <v>547</v>
      </c>
      <c r="H49" s="1" t="s">
        <v>676</v>
      </c>
      <c r="I49" s="1" t="s">
        <v>677</v>
      </c>
      <c r="J49" s="1" t="s">
        <v>678</v>
      </c>
      <c r="K49" s="1" t="s">
        <v>679</v>
      </c>
      <c r="L49" s="1"/>
      <c r="M49" s="1"/>
      <c r="N49" s="1" t="s">
        <v>410</v>
      </c>
      <c r="O49" s="1">
        <v>10</v>
      </c>
      <c r="P49" s="1" t="s">
        <v>528</v>
      </c>
      <c r="Q49" s="1" t="s">
        <v>278</v>
      </c>
      <c r="R49" s="1" t="s">
        <v>370</v>
      </c>
      <c r="S49" s="1" t="s">
        <v>409</v>
      </c>
      <c r="T49" s="1" t="s">
        <v>504</v>
      </c>
      <c r="U49" s="1" t="s">
        <v>547</v>
      </c>
      <c r="V49" s="1" t="s">
        <v>677</v>
      </c>
      <c r="W49" s="1" t="s">
        <v>678</v>
      </c>
      <c r="X49" s="1" t="s">
        <v>679</v>
      </c>
      <c r="Y49" s="1"/>
    </row>
    <row r="50" spans="1:25" ht="28.5" hidden="1">
      <c r="A50" s="1" t="s">
        <v>680</v>
      </c>
      <c r="B50" s="1" t="s">
        <v>277</v>
      </c>
      <c r="C50" s="1" t="s">
        <v>448</v>
      </c>
      <c r="D50" s="1" t="s">
        <v>27</v>
      </c>
      <c r="E50" s="1" t="s">
        <v>449</v>
      </c>
      <c r="F50" s="1" t="s">
        <v>528</v>
      </c>
      <c r="G50" s="1" t="s">
        <v>553</v>
      </c>
      <c r="H50" s="1" t="s">
        <v>681</v>
      </c>
      <c r="I50" s="1" t="s">
        <v>682</v>
      </c>
      <c r="J50" s="1" t="s">
        <v>683</v>
      </c>
      <c r="K50" s="1" t="s">
        <v>684</v>
      </c>
      <c r="L50" s="1"/>
      <c r="M50" s="1"/>
      <c r="N50" s="1" t="s">
        <v>410</v>
      </c>
      <c r="O50" s="1">
        <v>11</v>
      </c>
      <c r="P50" s="1" t="s">
        <v>528</v>
      </c>
      <c r="Q50" s="1" t="s">
        <v>278</v>
      </c>
      <c r="R50" s="1" t="s">
        <v>370</v>
      </c>
      <c r="S50" s="1" t="s">
        <v>409</v>
      </c>
      <c r="T50" s="1" t="s">
        <v>504</v>
      </c>
      <c r="U50" s="1" t="s">
        <v>553</v>
      </c>
      <c r="V50" s="1" t="s">
        <v>682</v>
      </c>
      <c r="W50" s="1" t="s">
        <v>683</v>
      </c>
      <c r="X50" s="1" t="s">
        <v>684</v>
      </c>
      <c r="Y50" s="1"/>
    </row>
    <row r="51" spans="1:25" ht="28.5" hidden="1">
      <c r="A51" s="1" t="s">
        <v>685</v>
      </c>
      <c r="B51" s="1" t="s">
        <v>277</v>
      </c>
      <c r="C51" s="1" t="s">
        <v>448</v>
      </c>
      <c r="D51" s="1" t="s">
        <v>27</v>
      </c>
      <c r="E51" s="1" t="s">
        <v>449</v>
      </c>
      <c r="F51" s="1" t="s">
        <v>528</v>
      </c>
      <c r="G51" s="1" t="s">
        <v>559</v>
      </c>
      <c r="H51" s="1" t="s">
        <v>686</v>
      </c>
      <c r="I51" s="1" t="s">
        <v>687</v>
      </c>
      <c r="J51" s="1" t="s">
        <v>688</v>
      </c>
      <c r="K51" s="1" t="s">
        <v>689</v>
      </c>
      <c r="L51" s="1"/>
      <c r="M51" s="1"/>
      <c r="N51" s="1" t="s">
        <v>410</v>
      </c>
      <c r="O51" s="1">
        <v>12</v>
      </c>
      <c r="P51" s="1" t="s">
        <v>528</v>
      </c>
      <c r="Q51" s="1" t="s">
        <v>278</v>
      </c>
      <c r="R51" s="1" t="s">
        <v>370</v>
      </c>
      <c r="S51" s="1" t="s">
        <v>409</v>
      </c>
      <c r="T51" s="1" t="s">
        <v>504</v>
      </c>
      <c r="U51" s="1" t="s">
        <v>559</v>
      </c>
      <c r="V51" s="1" t="s">
        <v>687</v>
      </c>
      <c r="W51" s="1" t="s">
        <v>688</v>
      </c>
      <c r="X51" s="1" t="s">
        <v>689</v>
      </c>
      <c r="Y51" s="1"/>
    </row>
    <row r="52" spans="1:25" ht="42.75" hidden="1">
      <c r="A52" s="1" t="s">
        <v>690</v>
      </c>
      <c r="B52" s="1" t="s">
        <v>277</v>
      </c>
      <c r="C52" s="1" t="s">
        <v>448</v>
      </c>
      <c r="D52" s="1" t="s">
        <v>27</v>
      </c>
      <c r="E52" s="1" t="s">
        <v>449</v>
      </c>
      <c r="F52" s="1" t="s">
        <v>528</v>
      </c>
      <c r="G52" s="1" t="s">
        <v>565</v>
      </c>
      <c r="H52" s="1" t="s">
        <v>691</v>
      </c>
      <c r="I52" s="1" t="s">
        <v>692</v>
      </c>
      <c r="J52" s="1" t="s">
        <v>693</v>
      </c>
      <c r="K52" s="1" t="s">
        <v>694</v>
      </c>
      <c r="L52" s="1"/>
      <c r="M52" s="1"/>
      <c r="N52" s="1" t="s">
        <v>410</v>
      </c>
      <c r="O52" s="1">
        <v>13</v>
      </c>
      <c r="P52" s="1" t="s">
        <v>528</v>
      </c>
      <c r="Q52" s="1" t="s">
        <v>278</v>
      </c>
      <c r="R52" s="1" t="s">
        <v>370</v>
      </c>
      <c r="S52" s="1" t="s">
        <v>409</v>
      </c>
      <c r="T52" s="1" t="s">
        <v>504</v>
      </c>
      <c r="U52" s="1" t="s">
        <v>565</v>
      </c>
      <c r="V52" s="1" t="s">
        <v>692</v>
      </c>
      <c r="W52" s="1" t="s">
        <v>693</v>
      </c>
      <c r="X52" s="1" t="s">
        <v>694</v>
      </c>
      <c r="Y52" s="1"/>
    </row>
    <row r="53" spans="1:25" ht="28.5" hidden="1">
      <c r="A53" s="1" t="s">
        <v>695</v>
      </c>
      <c r="B53" s="1" t="s">
        <v>277</v>
      </c>
      <c r="C53" s="1" t="s">
        <v>448</v>
      </c>
      <c r="D53" s="1" t="s">
        <v>27</v>
      </c>
      <c r="E53" s="1" t="s">
        <v>449</v>
      </c>
      <c r="F53" s="1" t="s">
        <v>528</v>
      </c>
      <c r="G53" s="1" t="s">
        <v>571</v>
      </c>
      <c r="H53" s="1" t="s">
        <v>696</v>
      </c>
      <c r="I53" s="1" t="s">
        <v>697</v>
      </c>
      <c r="J53" s="1" t="s">
        <v>698</v>
      </c>
      <c r="K53" s="1" t="s">
        <v>699</v>
      </c>
      <c r="L53" s="1"/>
      <c r="M53" s="1"/>
      <c r="N53" s="1" t="s">
        <v>410</v>
      </c>
      <c r="O53" s="1">
        <v>14</v>
      </c>
      <c r="P53" s="1" t="s">
        <v>528</v>
      </c>
      <c r="Q53" s="1" t="s">
        <v>278</v>
      </c>
      <c r="R53" s="1" t="s">
        <v>370</v>
      </c>
      <c r="S53" s="1" t="s">
        <v>409</v>
      </c>
      <c r="T53" s="1" t="s">
        <v>504</v>
      </c>
      <c r="U53" s="1" t="s">
        <v>571</v>
      </c>
      <c r="V53" s="1" t="s">
        <v>697</v>
      </c>
      <c r="W53" s="1" t="s">
        <v>698</v>
      </c>
      <c r="X53" s="1" t="s">
        <v>699</v>
      </c>
      <c r="Y53" s="1"/>
    </row>
    <row r="54" spans="1:25" ht="28.5" hidden="1">
      <c r="A54" s="1" t="s">
        <v>700</v>
      </c>
      <c r="B54" s="1" t="s">
        <v>291</v>
      </c>
      <c r="C54" s="1" t="s">
        <v>448</v>
      </c>
      <c r="D54" s="1" t="s">
        <v>27</v>
      </c>
      <c r="E54" s="1" t="s">
        <v>449</v>
      </c>
      <c r="F54" s="1" t="s">
        <v>528</v>
      </c>
      <c r="G54" s="1" t="s">
        <v>701</v>
      </c>
      <c r="H54" s="1" t="s">
        <v>702</v>
      </c>
      <c r="I54" s="1" t="s">
        <v>703</v>
      </c>
      <c r="J54" s="1" t="s">
        <v>704</v>
      </c>
      <c r="K54" s="1" t="s">
        <v>705</v>
      </c>
      <c r="L54" s="1"/>
      <c r="M54" s="1"/>
      <c r="N54" s="1" t="s">
        <v>410</v>
      </c>
      <c r="O54" s="1">
        <v>15</v>
      </c>
      <c r="P54" s="1" t="s">
        <v>528</v>
      </c>
      <c r="Q54" s="1" t="s">
        <v>278</v>
      </c>
      <c r="R54" s="1" t="s">
        <v>370</v>
      </c>
      <c r="S54" s="1" t="s">
        <v>409</v>
      </c>
      <c r="T54" s="1" t="s">
        <v>504</v>
      </c>
      <c r="U54" s="1" t="s">
        <v>701</v>
      </c>
      <c r="V54" s="1" t="s">
        <v>703</v>
      </c>
      <c r="W54" s="1" t="s">
        <v>704</v>
      </c>
      <c r="X54" s="1" t="s">
        <v>705</v>
      </c>
      <c r="Y54" s="1"/>
    </row>
    <row r="55" spans="1:25" ht="42.75" hidden="1">
      <c r="A55" s="1" t="s">
        <v>706</v>
      </c>
      <c r="B55" s="1" t="s">
        <v>291</v>
      </c>
      <c r="C55" s="1" t="s">
        <v>448</v>
      </c>
      <c r="D55" s="1" t="s">
        <v>27</v>
      </c>
      <c r="E55" s="1" t="s">
        <v>449</v>
      </c>
      <c r="F55" s="1" t="s">
        <v>528</v>
      </c>
      <c r="G55" s="1" t="s">
        <v>707</v>
      </c>
      <c r="H55" s="1" t="s">
        <v>708</v>
      </c>
      <c r="I55" s="1" t="s">
        <v>709</v>
      </c>
      <c r="J55" s="1" t="s">
        <v>710</v>
      </c>
      <c r="K55" s="1" t="s">
        <v>711</v>
      </c>
      <c r="L55" s="1"/>
      <c r="M55" s="1"/>
      <c r="N55" s="1" t="s">
        <v>410</v>
      </c>
      <c r="O55" s="1">
        <v>16</v>
      </c>
      <c r="P55" s="1" t="s">
        <v>528</v>
      </c>
      <c r="Q55" s="1" t="s">
        <v>278</v>
      </c>
      <c r="R55" s="1" t="s">
        <v>370</v>
      </c>
      <c r="S55" s="1" t="s">
        <v>409</v>
      </c>
      <c r="T55" s="1" t="s">
        <v>504</v>
      </c>
      <c r="U55" s="1" t="s">
        <v>707</v>
      </c>
      <c r="V55" s="1" t="s">
        <v>709</v>
      </c>
      <c r="W55" s="1" t="s">
        <v>710</v>
      </c>
      <c r="X55" s="1" t="s">
        <v>711</v>
      </c>
      <c r="Y55" s="1"/>
    </row>
    <row r="56" spans="1:25" ht="28.5" hidden="1">
      <c r="A56" s="1" t="s">
        <v>712</v>
      </c>
      <c r="B56" s="1" t="s">
        <v>291</v>
      </c>
      <c r="C56" s="1" t="s">
        <v>448</v>
      </c>
      <c r="D56" s="1" t="s">
        <v>27</v>
      </c>
      <c r="E56" s="1" t="s">
        <v>449</v>
      </c>
      <c r="F56" s="1" t="s">
        <v>528</v>
      </c>
      <c r="G56" s="1" t="s">
        <v>713</v>
      </c>
      <c r="H56" s="1" t="s">
        <v>714</v>
      </c>
      <c r="I56" s="1" t="s">
        <v>715</v>
      </c>
      <c r="J56" s="1" t="s">
        <v>716</v>
      </c>
      <c r="K56" s="1" t="s">
        <v>717</v>
      </c>
      <c r="L56" s="1"/>
      <c r="M56" s="1"/>
      <c r="N56" s="1" t="s">
        <v>410</v>
      </c>
      <c r="O56" s="1">
        <v>17</v>
      </c>
      <c r="P56" s="1" t="s">
        <v>528</v>
      </c>
      <c r="Q56" s="1" t="s">
        <v>278</v>
      </c>
      <c r="R56" s="1" t="s">
        <v>370</v>
      </c>
      <c r="S56" s="1" t="s">
        <v>409</v>
      </c>
      <c r="T56" s="1" t="s">
        <v>504</v>
      </c>
      <c r="U56" s="1" t="s">
        <v>713</v>
      </c>
      <c r="V56" s="1" t="s">
        <v>715</v>
      </c>
      <c r="W56" s="1" t="s">
        <v>716</v>
      </c>
      <c r="X56" s="1" t="s">
        <v>717</v>
      </c>
      <c r="Y56" s="1"/>
    </row>
    <row r="57" spans="1:25" ht="28.5" hidden="1">
      <c r="A57" s="1" t="s">
        <v>718</v>
      </c>
      <c r="B57" s="1" t="s">
        <v>291</v>
      </c>
      <c r="C57" s="1" t="s">
        <v>448</v>
      </c>
      <c r="D57" s="1" t="s">
        <v>27</v>
      </c>
      <c r="E57" s="1" t="s">
        <v>449</v>
      </c>
      <c r="F57" s="1" t="s">
        <v>528</v>
      </c>
      <c r="G57" s="1" t="s">
        <v>719</v>
      </c>
      <c r="H57" s="1" t="s">
        <v>720</v>
      </c>
      <c r="I57" s="1" t="s">
        <v>721</v>
      </c>
      <c r="J57" s="1" t="s">
        <v>722</v>
      </c>
      <c r="K57" s="1" t="s">
        <v>723</v>
      </c>
      <c r="L57" s="1"/>
      <c r="M57" s="1"/>
      <c r="N57" s="1" t="s">
        <v>410</v>
      </c>
      <c r="O57" s="1">
        <v>18</v>
      </c>
      <c r="P57" s="1" t="s">
        <v>528</v>
      </c>
      <c r="Q57" s="1" t="s">
        <v>278</v>
      </c>
      <c r="R57" s="1" t="s">
        <v>370</v>
      </c>
      <c r="S57" s="1" t="s">
        <v>409</v>
      </c>
      <c r="T57" s="1" t="s">
        <v>504</v>
      </c>
      <c r="U57" s="1" t="s">
        <v>719</v>
      </c>
      <c r="V57" s="1" t="s">
        <v>721</v>
      </c>
      <c r="W57" s="1" t="s">
        <v>722</v>
      </c>
      <c r="X57" s="1" t="s">
        <v>723</v>
      </c>
      <c r="Y57" s="1"/>
    </row>
    <row r="58" spans="1:25" ht="28.5" hidden="1">
      <c r="A58" s="1" t="s">
        <v>724</v>
      </c>
      <c r="B58" s="1"/>
      <c r="C58" s="1" t="s">
        <v>487</v>
      </c>
      <c r="D58" s="1" t="s">
        <v>27</v>
      </c>
      <c r="E58" s="1" t="s">
        <v>449</v>
      </c>
      <c r="F58" s="1" t="s">
        <v>488</v>
      </c>
      <c r="G58" s="1"/>
      <c r="H58" s="1" t="s">
        <v>725</v>
      </c>
      <c r="I58" s="1" t="s">
        <v>726</v>
      </c>
      <c r="J58" s="1" t="s">
        <v>727</v>
      </c>
      <c r="K58" s="1" t="s">
        <v>728</v>
      </c>
      <c r="L58" s="1"/>
      <c r="M58" s="1"/>
      <c r="N58" s="1" t="s">
        <v>410</v>
      </c>
      <c r="O58" s="1">
        <v>23</v>
      </c>
      <c r="P58" s="1" t="s">
        <v>528</v>
      </c>
      <c r="Q58" s="1" t="s">
        <v>278</v>
      </c>
      <c r="R58" s="1" t="s">
        <v>370</v>
      </c>
      <c r="S58" s="1" t="s">
        <v>409</v>
      </c>
      <c r="T58" s="1" t="s">
        <v>504</v>
      </c>
      <c r="U58" s="1"/>
      <c r="V58" s="1" t="s">
        <v>726</v>
      </c>
      <c r="W58" s="1" t="s">
        <v>727</v>
      </c>
      <c r="X58" s="1" t="s">
        <v>728</v>
      </c>
      <c r="Y58" s="1"/>
    </row>
    <row r="59" spans="1:25" ht="42.75" hidden="1">
      <c r="A59" s="1" t="s">
        <v>729</v>
      </c>
      <c r="B59" s="1"/>
      <c r="C59" s="1" t="s">
        <v>487</v>
      </c>
      <c r="D59" s="1" t="s">
        <v>27</v>
      </c>
      <c r="E59" s="1" t="s">
        <v>449</v>
      </c>
      <c r="F59" s="1" t="s">
        <v>488</v>
      </c>
      <c r="G59" s="1"/>
      <c r="H59" s="1" t="s">
        <v>730</v>
      </c>
      <c r="I59" s="1" t="s">
        <v>731</v>
      </c>
      <c r="J59" s="1" t="s">
        <v>732</v>
      </c>
      <c r="K59" s="1" t="s">
        <v>733</v>
      </c>
      <c r="L59" s="1"/>
      <c r="M59" s="1"/>
      <c r="N59" s="1" t="s">
        <v>410</v>
      </c>
      <c r="O59" s="1">
        <v>24</v>
      </c>
      <c r="P59" s="1" t="s">
        <v>528</v>
      </c>
      <c r="Q59" s="1" t="s">
        <v>278</v>
      </c>
      <c r="R59" s="1" t="s">
        <v>370</v>
      </c>
      <c r="S59" s="1" t="s">
        <v>409</v>
      </c>
      <c r="T59" s="1" t="s">
        <v>504</v>
      </c>
      <c r="U59" s="1"/>
      <c r="V59" s="1" t="s">
        <v>731</v>
      </c>
      <c r="W59" s="1" t="s">
        <v>732</v>
      </c>
      <c r="X59" s="1" t="s">
        <v>733</v>
      </c>
      <c r="Y59" s="1"/>
    </row>
    <row r="60" spans="1:25" ht="57" hidden="1">
      <c r="A60" s="1" t="s">
        <v>734</v>
      </c>
      <c r="B60" s="1"/>
      <c r="C60" s="1" t="s">
        <v>487</v>
      </c>
      <c r="D60" s="1" t="s">
        <v>27</v>
      </c>
      <c r="E60" s="1" t="s">
        <v>449</v>
      </c>
      <c r="F60" s="1" t="s">
        <v>488</v>
      </c>
      <c r="G60" s="1"/>
      <c r="H60" s="1" t="s">
        <v>735</v>
      </c>
      <c r="I60" s="1" t="s">
        <v>736</v>
      </c>
      <c r="J60" s="1" t="s">
        <v>669</v>
      </c>
      <c r="K60" s="1" t="s">
        <v>737</v>
      </c>
      <c r="L60" s="1"/>
      <c r="M60" s="1"/>
      <c r="N60" s="1" t="s">
        <v>410</v>
      </c>
      <c r="O60" s="1">
        <v>25</v>
      </c>
      <c r="P60" s="1" t="s">
        <v>528</v>
      </c>
      <c r="Q60" s="1" t="s">
        <v>278</v>
      </c>
      <c r="R60" s="1" t="s">
        <v>370</v>
      </c>
      <c r="S60" s="1" t="s">
        <v>409</v>
      </c>
      <c r="T60" s="1" t="s">
        <v>504</v>
      </c>
      <c r="U60" s="1"/>
      <c r="V60" s="1" t="s">
        <v>736</v>
      </c>
      <c r="W60" s="1" t="s">
        <v>669</v>
      </c>
      <c r="X60" s="1" t="s">
        <v>737</v>
      </c>
      <c r="Y60" s="1"/>
    </row>
    <row r="61" spans="1:25" ht="28.5" hidden="1">
      <c r="A61" s="1" t="s">
        <v>738</v>
      </c>
      <c r="B61" s="1" t="s">
        <v>318</v>
      </c>
      <c r="C61" s="1" t="s">
        <v>448</v>
      </c>
      <c r="D61" s="1" t="s">
        <v>27</v>
      </c>
      <c r="E61" s="1" t="s">
        <v>449</v>
      </c>
      <c r="F61" s="1" t="s">
        <v>528</v>
      </c>
      <c r="G61" s="1" t="s">
        <v>470</v>
      </c>
      <c r="H61" s="1" t="s">
        <v>739</v>
      </c>
      <c r="I61" s="1" t="s">
        <v>740</v>
      </c>
      <c r="J61" s="1" t="s">
        <v>462</v>
      </c>
      <c r="K61" s="1" t="s">
        <v>741</v>
      </c>
      <c r="L61" s="1"/>
      <c r="M61" s="1"/>
      <c r="N61" s="1" t="s">
        <v>424</v>
      </c>
      <c r="O61" s="1">
        <v>7</v>
      </c>
      <c r="P61" s="1" t="s">
        <v>528</v>
      </c>
      <c r="Q61" s="1" t="s">
        <v>319</v>
      </c>
      <c r="R61" s="1" t="s">
        <v>422</v>
      </c>
      <c r="S61" s="1" t="s">
        <v>423</v>
      </c>
      <c r="T61" s="1" t="s">
        <v>504</v>
      </c>
      <c r="U61" s="1" t="s">
        <v>470</v>
      </c>
      <c r="V61" s="1" t="s">
        <v>740</v>
      </c>
      <c r="W61" s="1" t="s">
        <v>462</v>
      </c>
      <c r="X61" s="1" t="s">
        <v>741</v>
      </c>
      <c r="Y61" s="1"/>
    </row>
    <row r="62" spans="1:25" ht="28.5" hidden="1">
      <c r="A62" s="1" t="s">
        <v>742</v>
      </c>
      <c r="B62" s="1" t="s">
        <v>318</v>
      </c>
      <c r="C62" s="1" t="s">
        <v>448</v>
      </c>
      <c r="D62" s="1" t="s">
        <v>27</v>
      </c>
      <c r="E62" s="1" t="s">
        <v>449</v>
      </c>
      <c r="F62" s="1" t="s">
        <v>528</v>
      </c>
      <c r="G62" s="1" t="s">
        <v>475</v>
      </c>
      <c r="H62" s="1" t="s">
        <v>743</v>
      </c>
      <c r="I62" s="1" t="s">
        <v>744</v>
      </c>
      <c r="J62" s="1" t="s">
        <v>745</v>
      </c>
      <c r="K62" s="1"/>
      <c r="L62" s="1"/>
      <c r="M62" s="1"/>
      <c r="N62" s="1" t="s">
        <v>424</v>
      </c>
      <c r="O62" s="1">
        <v>8</v>
      </c>
      <c r="P62" s="1" t="s">
        <v>528</v>
      </c>
      <c r="Q62" s="1" t="s">
        <v>319</v>
      </c>
      <c r="R62" s="1" t="s">
        <v>422</v>
      </c>
      <c r="S62" s="1" t="s">
        <v>423</v>
      </c>
      <c r="T62" s="1" t="s">
        <v>504</v>
      </c>
      <c r="U62" s="1" t="s">
        <v>475</v>
      </c>
      <c r="V62" s="1" t="s">
        <v>744</v>
      </c>
      <c r="W62" s="1" t="s">
        <v>745</v>
      </c>
      <c r="X62" s="1"/>
      <c r="Y62" s="1"/>
    </row>
    <row r="63" spans="1:25" ht="28.5" hidden="1">
      <c r="A63" s="1" t="s">
        <v>746</v>
      </c>
      <c r="B63" s="1" t="s">
        <v>318</v>
      </c>
      <c r="C63" s="1" t="s">
        <v>448</v>
      </c>
      <c r="D63" s="1" t="s">
        <v>27</v>
      </c>
      <c r="E63" s="1" t="s">
        <v>449</v>
      </c>
      <c r="F63" s="1" t="s">
        <v>528</v>
      </c>
      <c r="G63" s="1" t="s">
        <v>481</v>
      </c>
      <c r="H63" s="1" t="s">
        <v>739</v>
      </c>
      <c r="I63" s="1" t="s">
        <v>747</v>
      </c>
      <c r="J63" s="1" t="s">
        <v>748</v>
      </c>
      <c r="K63" s="1" t="s">
        <v>749</v>
      </c>
      <c r="L63" s="1"/>
      <c r="M63" s="1"/>
      <c r="N63" s="1" t="s">
        <v>424</v>
      </c>
      <c r="O63" s="1">
        <v>9</v>
      </c>
      <c r="P63" s="1" t="s">
        <v>528</v>
      </c>
      <c r="Q63" s="1" t="s">
        <v>319</v>
      </c>
      <c r="R63" s="1" t="s">
        <v>422</v>
      </c>
      <c r="S63" s="1" t="s">
        <v>423</v>
      </c>
      <c r="T63" s="1" t="s">
        <v>504</v>
      </c>
      <c r="U63" s="1" t="s">
        <v>481</v>
      </c>
      <c r="V63" s="1" t="s">
        <v>747</v>
      </c>
      <c r="W63" s="1" t="s">
        <v>748</v>
      </c>
      <c r="X63" s="1" t="s">
        <v>749</v>
      </c>
      <c r="Y63" s="1"/>
    </row>
    <row r="64" spans="1:25" ht="28.5" hidden="1">
      <c r="A64" s="1" t="s">
        <v>750</v>
      </c>
      <c r="B64" s="1" t="s">
        <v>318</v>
      </c>
      <c r="C64" s="1" t="s">
        <v>448</v>
      </c>
      <c r="D64" s="1" t="s">
        <v>27</v>
      </c>
      <c r="E64" s="1" t="s">
        <v>449</v>
      </c>
      <c r="F64" s="1" t="s">
        <v>528</v>
      </c>
      <c r="G64" s="1" t="s">
        <v>641</v>
      </c>
      <c r="H64" s="1" t="s">
        <v>751</v>
      </c>
      <c r="I64" s="1" t="s">
        <v>752</v>
      </c>
      <c r="J64" s="1" t="s">
        <v>753</v>
      </c>
      <c r="K64" s="1"/>
      <c r="L64" s="1"/>
      <c r="M64" s="1"/>
      <c r="N64" s="1" t="s">
        <v>424</v>
      </c>
      <c r="O64" s="1">
        <v>10</v>
      </c>
      <c r="P64" s="1" t="s">
        <v>528</v>
      </c>
      <c r="Q64" s="1" t="s">
        <v>319</v>
      </c>
      <c r="R64" s="1" t="s">
        <v>422</v>
      </c>
      <c r="S64" s="1" t="s">
        <v>423</v>
      </c>
      <c r="T64" s="1" t="s">
        <v>504</v>
      </c>
      <c r="U64" s="1" t="s">
        <v>641</v>
      </c>
      <c r="V64" s="1" t="s">
        <v>752</v>
      </c>
      <c r="W64" s="1" t="s">
        <v>753</v>
      </c>
      <c r="X64" s="1"/>
      <c r="Y64" s="1"/>
    </row>
    <row r="65" spans="1:25" ht="28.5" hidden="1">
      <c r="A65" s="1" t="s">
        <v>754</v>
      </c>
      <c r="B65" s="1" t="s">
        <v>318</v>
      </c>
      <c r="C65" s="1" t="s">
        <v>448</v>
      </c>
      <c r="D65" s="1" t="s">
        <v>27</v>
      </c>
      <c r="E65" s="1" t="s">
        <v>449</v>
      </c>
      <c r="F65" s="1" t="s">
        <v>528</v>
      </c>
      <c r="G65" s="1" t="s">
        <v>645</v>
      </c>
      <c r="H65" s="1" t="s">
        <v>739</v>
      </c>
      <c r="I65" s="1" t="s">
        <v>755</v>
      </c>
      <c r="J65" s="1" t="s">
        <v>756</v>
      </c>
      <c r="K65" s="1"/>
      <c r="L65" s="1"/>
      <c r="M65" s="1"/>
      <c r="N65" s="1" t="s">
        <v>424</v>
      </c>
      <c r="O65" s="1">
        <v>11</v>
      </c>
      <c r="P65" s="1" t="s">
        <v>528</v>
      </c>
      <c r="Q65" s="1" t="s">
        <v>319</v>
      </c>
      <c r="R65" s="1" t="s">
        <v>422</v>
      </c>
      <c r="S65" s="1" t="s">
        <v>423</v>
      </c>
      <c r="T65" s="1" t="s">
        <v>504</v>
      </c>
      <c r="U65" s="1" t="s">
        <v>645</v>
      </c>
      <c r="V65" s="1" t="s">
        <v>755</v>
      </c>
      <c r="W65" s="1" t="s">
        <v>756</v>
      </c>
      <c r="X65" s="1"/>
      <c r="Y65" s="1"/>
    </row>
    <row r="66" spans="1:25" ht="28.5" hidden="1">
      <c r="A66" s="1" t="s">
        <v>757</v>
      </c>
      <c r="B66" s="1" t="s">
        <v>281</v>
      </c>
      <c r="C66" s="1" t="s">
        <v>448</v>
      </c>
      <c r="D66" s="1" t="s">
        <v>27</v>
      </c>
      <c r="E66" s="1" t="s">
        <v>449</v>
      </c>
      <c r="F66" s="1" t="s">
        <v>528</v>
      </c>
      <c r="G66" s="1" t="s">
        <v>529</v>
      </c>
      <c r="H66" s="1" t="s">
        <v>758</v>
      </c>
      <c r="I66" s="1" t="s">
        <v>759</v>
      </c>
      <c r="J66" s="1" t="s">
        <v>415</v>
      </c>
      <c r="K66" s="1"/>
      <c r="L66" s="1"/>
      <c r="M66" s="1"/>
      <c r="N66" s="1" t="s">
        <v>413</v>
      </c>
      <c r="O66" s="1">
        <v>7</v>
      </c>
      <c r="P66" s="1" t="s">
        <v>528</v>
      </c>
      <c r="Q66" s="1" t="s">
        <v>282</v>
      </c>
      <c r="R66" s="1" t="s">
        <v>370</v>
      </c>
      <c r="S66" s="1" t="s">
        <v>412</v>
      </c>
      <c r="T66" s="1" t="s">
        <v>456</v>
      </c>
      <c r="U66" s="1" t="s">
        <v>529</v>
      </c>
      <c r="V66" s="1" t="s">
        <v>759</v>
      </c>
      <c r="W66" s="1" t="s">
        <v>415</v>
      </c>
      <c r="X66" s="1"/>
      <c r="Y66" s="1"/>
    </row>
    <row r="67" spans="1:25" ht="28.5" hidden="1">
      <c r="A67" s="1" t="s">
        <v>760</v>
      </c>
      <c r="B67" s="1" t="s">
        <v>281</v>
      </c>
      <c r="C67" s="1" t="s">
        <v>448</v>
      </c>
      <c r="D67" s="1" t="s">
        <v>27</v>
      </c>
      <c r="E67" s="1" t="s">
        <v>449</v>
      </c>
      <c r="F67" s="1" t="s">
        <v>528</v>
      </c>
      <c r="G67" s="1" t="s">
        <v>535</v>
      </c>
      <c r="H67" s="1" t="s">
        <v>761</v>
      </c>
      <c r="I67" s="1" t="s">
        <v>762</v>
      </c>
      <c r="J67" s="1" t="s">
        <v>763</v>
      </c>
      <c r="K67" s="1" t="s">
        <v>764</v>
      </c>
      <c r="L67" s="1"/>
      <c r="M67" s="1"/>
      <c r="N67" s="1" t="s">
        <v>413</v>
      </c>
      <c r="O67" s="1">
        <v>8</v>
      </c>
      <c r="P67" s="1" t="s">
        <v>528</v>
      </c>
      <c r="Q67" s="1" t="s">
        <v>282</v>
      </c>
      <c r="R67" s="1" t="s">
        <v>370</v>
      </c>
      <c r="S67" s="1" t="s">
        <v>412</v>
      </c>
      <c r="T67" s="1" t="s">
        <v>456</v>
      </c>
      <c r="U67" s="1" t="s">
        <v>535</v>
      </c>
      <c r="V67" s="1" t="s">
        <v>762</v>
      </c>
      <c r="W67" s="1" t="s">
        <v>763</v>
      </c>
      <c r="X67" s="1" t="s">
        <v>764</v>
      </c>
      <c r="Y67" s="1"/>
    </row>
    <row r="68" spans="1:25" ht="28.5" hidden="1">
      <c r="A68" s="1" t="s">
        <v>765</v>
      </c>
      <c r="B68" s="1" t="s">
        <v>281</v>
      </c>
      <c r="C68" s="1" t="s">
        <v>448</v>
      </c>
      <c r="D68" s="1" t="s">
        <v>27</v>
      </c>
      <c r="E68" s="1" t="s">
        <v>449</v>
      </c>
      <c r="F68" s="1" t="s">
        <v>528</v>
      </c>
      <c r="G68" s="1" t="s">
        <v>541</v>
      </c>
      <c r="H68" s="1" t="s">
        <v>766</v>
      </c>
      <c r="I68" s="1" t="s">
        <v>767</v>
      </c>
      <c r="J68" s="1" t="s">
        <v>768</v>
      </c>
      <c r="K68" s="1"/>
      <c r="L68" s="1"/>
      <c r="M68" s="1"/>
      <c r="N68" s="1" t="s">
        <v>413</v>
      </c>
      <c r="O68" s="1">
        <v>9</v>
      </c>
      <c r="P68" s="1" t="s">
        <v>528</v>
      </c>
      <c r="Q68" s="1" t="s">
        <v>282</v>
      </c>
      <c r="R68" s="1" t="s">
        <v>370</v>
      </c>
      <c r="S68" s="1" t="s">
        <v>412</v>
      </c>
      <c r="T68" s="1" t="s">
        <v>456</v>
      </c>
      <c r="U68" s="1" t="s">
        <v>541</v>
      </c>
      <c r="V68" s="1" t="s">
        <v>767</v>
      </c>
      <c r="W68" s="1" t="s">
        <v>768</v>
      </c>
      <c r="X68" s="1"/>
      <c r="Y68" s="1"/>
    </row>
    <row r="69" spans="1:25" ht="42.75" hidden="1">
      <c r="A69" s="1" t="s">
        <v>769</v>
      </c>
      <c r="B69" s="1" t="s">
        <v>281</v>
      </c>
      <c r="C69" s="1" t="s">
        <v>448</v>
      </c>
      <c r="D69" s="1" t="s">
        <v>27</v>
      </c>
      <c r="E69" s="1" t="s">
        <v>449</v>
      </c>
      <c r="F69" s="1" t="s">
        <v>528</v>
      </c>
      <c r="G69" s="1" t="s">
        <v>547</v>
      </c>
      <c r="H69" s="1" t="s">
        <v>770</v>
      </c>
      <c r="I69" s="1" t="s">
        <v>771</v>
      </c>
      <c r="J69" s="1" t="s">
        <v>772</v>
      </c>
      <c r="K69" s="1" t="s">
        <v>773</v>
      </c>
      <c r="L69" s="1"/>
      <c r="M69" s="1"/>
      <c r="N69" s="1" t="s">
        <v>413</v>
      </c>
      <c r="O69" s="1">
        <v>10</v>
      </c>
      <c r="P69" s="1" t="s">
        <v>528</v>
      </c>
      <c r="Q69" s="1" t="s">
        <v>282</v>
      </c>
      <c r="R69" s="1" t="s">
        <v>370</v>
      </c>
      <c r="S69" s="1" t="s">
        <v>412</v>
      </c>
      <c r="T69" s="1" t="s">
        <v>456</v>
      </c>
      <c r="U69" s="1" t="s">
        <v>547</v>
      </c>
      <c r="V69" s="1" t="s">
        <v>771</v>
      </c>
      <c r="W69" s="1" t="s">
        <v>772</v>
      </c>
      <c r="X69" s="1" t="s">
        <v>773</v>
      </c>
      <c r="Y69" s="1"/>
    </row>
    <row r="70" spans="1:25" ht="28.5" hidden="1">
      <c r="A70" s="1" t="s">
        <v>774</v>
      </c>
      <c r="B70" s="1" t="s">
        <v>281</v>
      </c>
      <c r="C70" s="1" t="s">
        <v>448</v>
      </c>
      <c r="D70" s="1" t="s">
        <v>27</v>
      </c>
      <c r="E70" s="1" t="s">
        <v>449</v>
      </c>
      <c r="F70" s="1" t="s">
        <v>528</v>
      </c>
      <c r="G70" s="1" t="s">
        <v>553</v>
      </c>
      <c r="H70" s="1" t="s">
        <v>775</v>
      </c>
      <c r="I70" s="1" t="s">
        <v>776</v>
      </c>
      <c r="J70" s="1" t="s">
        <v>777</v>
      </c>
      <c r="K70" s="1" t="s">
        <v>778</v>
      </c>
      <c r="L70" s="1"/>
      <c r="M70" s="1"/>
      <c r="N70" s="1" t="s">
        <v>413</v>
      </c>
      <c r="O70" s="1">
        <v>11</v>
      </c>
      <c r="P70" s="1" t="s">
        <v>528</v>
      </c>
      <c r="Q70" s="1" t="s">
        <v>282</v>
      </c>
      <c r="R70" s="1" t="s">
        <v>370</v>
      </c>
      <c r="S70" s="1" t="s">
        <v>412</v>
      </c>
      <c r="T70" s="1" t="s">
        <v>456</v>
      </c>
      <c r="U70" s="1" t="s">
        <v>553</v>
      </c>
      <c r="V70" s="1" t="s">
        <v>776</v>
      </c>
      <c r="W70" s="1" t="s">
        <v>777</v>
      </c>
      <c r="X70" s="1" t="s">
        <v>778</v>
      </c>
      <c r="Y70" s="1"/>
    </row>
    <row r="71" spans="1:25" ht="42.75" hidden="1">
      <c r="A71" s="1" t="s">
        <v>779</v>
      </c>
      <c r="B71" s="1" t="s">
        <v>281</v>
      </c>
      <c r="C71" s="1" t="s">
        <v>448</v>
      </c>
      <c r="D71" s="1" t="s">
        <v>27</v>
      </c>
      <c r="E71" s="1" t="s">
        <v>449</v>
      </c>
      <c r="F71" s="1" t="s">
        <v>528</v>
      </c>
      <c r="G71" s="1" t="s">
        <v>559</v>
      </c>
      <c r="H71" s="1" t="s">
        <v>780</v>
      </c>
      <c r="I71" s="1" t="s">
        <v>781</v>
      </c>
      <c r="J71" s="1" t="s">
        <v>782</v>
      </c>
      <c r="K71" s="1"/>
      <c r="L71" s="1"/>
      <c r="M71" s="1"/>
      <c r="N71" s="1" t="s">
        <v>413</v>
      </c>
      <c r="O71" s="1">
        <v>12</v>
      </c>
      <c r="P71" s="1" t="s">
        <v>528</v>
      </c>
      <c r="Q71" s="1" t="s">
        <v>282</v>
      </c>
      <c r="R71" s="1" t="s">
        <v>370</v>
      </c>
      <c r="S71" s="1" t="s">
        <v>412</v>
      </c>
      <c r="T71" s="1" t="s">
        <v>456</v>
      </c>
      <c r="U71" s="1" t="s">
        <v>559</v>
      </c>
      <c r="V71" s="1" t="s">
        <v>781</v>
      </c>
      <c r="W71" s="1" t="s">
        <v>782</v>
      </c>
      <c r="X71" s="1"/>
      <c r="Y71" s="1"/>
    </row>
    <row r="72" spans="1:25" ht="28.5" hidden="1">
      <c r="A72" s="1" t="s">
        <v>783</v>
      </c>
      <c r="B72" s="1" t="s">
        <v>281</v>
      </c>
      <c r="C72" s="1" t="s">
        <v>448</v>
      </c>
      <c r="D72" s="1" t="s">
        <v>27</v>
      </c>
      <c r="E72" s="1" t="s">
        <v>449</v>
      </c>
      <c r="F72" s="1" t="s">
        <v>528</v>
      </c>
      <c r="G72" s="1" t="s">
        <v>565</v>
      </c>
      <c r="H72" s="1" t="s">
        <v>784</v>
      </c>
      <c r="I72" s="1" t="s">
        <v>785</v>
      </c>
      <c r="J72" s="1" t="s">
        <v>786</v>
      </c>
      <c r="K72" s="1" t="s">
        <v>462</v>
      </c>
      <c r="L72" s="1"/>
      <c r="M72" s="1"/>
      <c r="N72" s="1" t="s">
        <v>413</v>
      </c>
      <c r="O72" s="1">
        <v>13</v>
      </c>
      <c r="P72" s="1" t="s">
        <v>528</v>
      </c>
      <c r="Q72" s="1" t="s">
        <v>282</v>
      </c>
      <c r="R72" s="1" t="s">
        <v>370</v>
      </c>
      <c r="S72" s="1" t="s">
        <v>412</v>
      </c>
      <c r="T72" s="1" t="s">
        <v>456</v>
      </c>
      <c r="U72" s="1" t="s">
        <v>565</v>
      </c>
      <c r="V72" s="1" t="s">
        <v>785</v>
      </c>
      <c r="W72" s="1" t="s">
        <v>786</v>
      </c>
      <c r="X72" s="1" t="s">
        <v>462</v>
      </c>
      <c r="Y72" s="1"/>
    </row>
    <row r="73" spans="1:25" ht="28.5" hidden="1">
      <c r="A73" s="1" t="s">
        <v>787</v>
      </c>
      <c r="B73" s="1" t="s">
        <v>281</v>
      </c>
      <c r="C73" s="1" t="s">
        <v>448</v>
      </c>
      <c r="D73" s="1" t="s">
        <v>27</v>
      </c>
      <c r="E73" s="1" t="s">
        <v>449</v>
      </c>
      <c r="F73" s="1" t="s">
        <v>528</v>
      </c>
      <c r="G73" s="1" t="s">
        <v>571</v>
      </c>
      <c r="H73" s="1" t="s">
        <v>788</v>
      </c>
      <c r="I73" s="1" t="s">
        <v>789</v>
      </c>
      <c r="J73" s="1" t="s">
        <v>790</v>
      </c>
      <c r="K73" s="1" t="s">
        <v>791</v>
      </c>
      <c r="L73" s="1"/>
      <c r="M73" s="1"/>
      <c r="N73" s="1" t="s">
        <v>413</v>
      </c>
      <c r="O73" s="1">
        <v>14</v>
      </c>
      <c r="P73" s="1" t="s">
        <v>528</v>
      </c>
      <c r="Q73" s="1" t="s">
        <v>282</v>
      </c>
      <c r="R73" s="1" t="s">
        <v>370</v>
      </c>
      <c r="S73" s="1" t="s">
        <v>412</v>
      </c>
      <c r="T73" s="1" t="s">
        <v>456</v>
      </c>
      <c r="U73" s="1" t="s">
        <v>571</v>
      </c>
      <c r="V73" s="1" t="s">
        <v>789</v>
      </c>
      <c r="W73" s="1" t="s">
        <v>790</v>
      </c>
      <c r="X73" s="1" t="s">
        <v>791</v>
      </c>
      <c r="Y73" s="1"/>
    </row>
    <row r="74" spans="1:25" ht="28.5" hidden="1">
      <c r="A74" s="1" t="s">
        <v>792</v>
      </c>
      <c r="B74" s="1" t="s">
        <v>301</v>
      </c>
      <c r="C74" s="1" t="s">
        <v>448</v>
      </c>
      <c r="D74" s="1" t="s">
        <v>27</v>
      </c>
      <c r="E74" s="1" t="s">
        <v>449</v>
      </c>
      <c r="F74" s="1" t="s">
        <v>528</v>
      </c>
      <c r="G74" s="1" t="s">
        <v>701</v>
      </c>
      <c r="H74" s="1" t="s">
        <v>793</v>
      </c>
      <c r="I74" s="1" t="s">
        <v>794</v>
      </c>
      <c r="J74" s="1" t="s">
        <v>795</v>
      </c>
      <c r="K74" s="1" t="s">
        <v>796</v>
      </c>
      <c r="L74" s="1"/>
      <c r="M74" s="1"/>
      <c r="N74" s="1" t="s">
        <v>413</v>
      </c>
      <c r="O74" s="1">
        <v>15</v>
      </c>
      <c r="P74" s="1" t="s">
        <v>528</v>
      </c>
      <c r="Q74" s="1" t="s">
        <v>282</v>
      </c>
      <c r="R74" s="1" t="s">
        <v>370</v>
      </c>
      <c r="S74" s="1" t="s">
        <v>412</v>
      </c>
      <c r="T74" s="1" t="s">
        <v>456</v>
      </c>
      <c r="U74" s="1" t="s">
        <v>701</v>
      </c>
      <c r="V74" s="1" t="s">
        <v>794</v>
      </c>
      <c r="W74" s="1" t="s">
        <v>795</v>
      </c>
      <c r="X74" s="1" t="s">
        <v>796</v>
      </c>
      <c r="Y74" s="1"/>
    </row>
    <row r="75" spans="1:25" ht="42.75" hidden="1">
      <c r="A75" s="1" t="s">
        <v>797</v>
      </c>
      <c r="B75" s="1" t="s">
        <v>301</v>
      </c>
      <c r="C75" s="1" t="s">
        <v>448</v>
      </c>
      <c r="D75" s="1" t="s">
        <v>27</v>
      </c>
      <c r="E75" s="1" t="s">
        <v>449</v>
      </c>
      <c r="F75" s="1" t="s">
        <v>528</v>
      </c>
      <c r="G75" s="1" t="s">
        <v>707</v>
      </c>
      <c r="H75" s="1" t="s">
        <v>798</v>
      </c>
      <c r="I75" s="1" t="s">
        <v>799</v>
      </c>
      <c r="J75" s="1" t="s">
        <v>800</v>
      </c>
      <c r="K75" s="1" t="s">
        <v>801</v>
      </c>
      <c r="L75" s="1"/>
      <c r="M75" s="1"/>
      <c r="N75" s="1" t="s">
        <v>413</v>
      </c>
      <c r="O75" s="1">
        <v>16</v>
      </c>
      <c r="P75" s="1" t="s">
        <v>528</v>
      </c>
      <c r="Q75" s="1" t="s">
        <v>282</v>
      </c>
      <c r="R75" s="1" t="s">
        <v>370</v>
      </c>
      <c r="S75" s="1" t="s">
        <v>412</v>
      </c>
      <c r="T75" s="1" t="s">
        <v>456</v>
      </c>
      <c r="U75" s="1" t="s">
        <v>707</v>
      </c>
      <c r="V75" s="1" t="s">
        <v>799</v>
      </c>
      <c r="W75" s="1" t="s">
        <v>800</v>
      </c>
      <c r="X75" s="1" t="s">
        <v>801</v>
      </c>
      <c r="Y75" s="1"/>
    </row>
    <row r="76" spans="1:25" ht="28.5" hidden="1">
      <c r="A76" s="1" t="s">
        <v>802</v>
      </c>
      <c r="B76" s="1" t="s">
        <v>301</v>
      </c>
      <c r="C76" s="1" t="s">
        <v>448</v>
      </c>
      <c r="D76" s="1" t="s">
        <v>27</v>
      </c>
      <c r="E76" s="1" t="s">
        <v>449</v>
      </c>
      <c r="F76" s="1" t="s">
        <v>528</v>
      </c>
      <c r="G76" s="1" t="s">
        <v>713</v>
      </c>
      <c r="H76" s="1" t="s">
        <v>803</v>
      </c>
      <c r="I76" s="1" t="s">
        <v>804</v>
      </c>
      <c r="J76" s="1" t="s">
        <v>800</v>
      </c>
      <c r="K76" s="1" t="s">
        <v>805</v>
      </c>
      <c r="L76" s="1"/>
      <c r="M76" s="1"/>
      <c r="N76" s="1" t="s">
        <v>413</v>
      </c>
      <c r="O76" s="1">
        <v>17</v>
      </c>
      <c r="P76" s="1" t="s">
        <v>528</v>
      </c>
      <c r="Q76" s="1" t="s">
        <v>282</v>
      </c>
      <c r="R76" s="1" t="s">
        <v>370</v>
      </c>
      <c r="S76" s="1" t="s">
        <v>412</v>
      </c>
      <c r="T76" s="1" t="s">
        <v>456</v>
      </c>
      <c r="U76" s="1" t="s">
        <v>713</v>
      </c>
      <c r="V76" s="1" t="s">
        <v>804</v>
      </c>
      <c r="W76" s="1" t="s">
        <v>800</v>
      </c>
      <c r="X76" s="1" t="s">
        <v>805</v>
      </c>
      <c r="Y76" s="1"/>
    </row>
    <row r="77" spans="1:25" ht="28.5" hidden="1">
      <c r="A77" s="1" t="s">
        <v>806</v>
      </c>
      <c r="B77" s="1" t="s">
        <v>301</v>
      </c>
      <c r="C77" s="1" t="s">
        <v>448</v>
      </c>
      <c r="D77" s="1" t="s">
        <v>27</v>
      </c>
      <c r="E77" s="1" t="s">
        <v>449</v>
      </c>
      <c r="F77" s="1" t="s">
        <v>528</v>
      </c>
      <c r="G77" s="1" t="s">
        <v>719</v>
      </c>
      <c r="H77" s="1" t="s">
        <v>807</v>
      </c>
      <c r="I77" s="1" t="s">
        <v>808</v>
      </c>
      <c r="J77" s="1" t="s">
        <v>782</v>
      </c>
      <c r="K77" s="1" t="s">
        <v>809</v>
      </c>
      <c r="L77" s="1"/>
      <c r="M77" s="1"/>
      <c r="N77" s="1" t="s">
        <v>413</v>
      </c>
      <c r="O77" s="1">
        <v>18</v>
      </c>
      <c r="P77" s="1" t="s">
        <v>528</v>
      </c>
      <c r="Q77" s="1" t="s">
        <v>282</v>
      </c>
      <c r="R77" s="1" t="s">
        <v>370</v>
      </c>
      <c r="S77" s="1" t="s">
        <v>412</v>
      </c>
      <c r="T77" s="1" t="s">
        <v>456</v>
      </c>
      <c r="U77" s="1" t="s">
        <v>719</v>
      </c>
      <c r="V77" s="1" t="s">
        <v>808</v>
      </c>
      <c r="W77" s="1" t="s">
        <v>782</v>
      </c>
      <c r="X77" s="1" t="s">
        <v>809</v>
      </c>
      <c r="Y77" s="1"/>
    </row>
    <row r="78" spans="1:25" ht="28.5" hidden="1">
      <c r="A78" s="1" t="s">
        <v>810</v>
      </c>
      <c r="B78" s="1" t="s">
        <v>301</v>
      </c>
      <c r="C78" s="1" t="s">
        <v>448</v>
      </c>
      <c r="D78" s="1" t="s">
        <v>27</v>
      </c>
      <c r="E78" s="1" t="s">
        <v>449</v>
      </c>
      <c r="F78" s="1" t="s">
        <v>528</v>
      </c>
      <c r="G78" s="1" t="s">
        <v>811</v>
      </c>
      <c r="H78" s="1" t="s">
        <v>812</v>
      </c>
      <c r="I78" s="1" t="s">
        <v>813</v>
      </c>
      <c r="J78" s="1" t="s">
        <v>814</v>
      </c>
      <c r="K78" s="1" t="s">
        <v>815</v>
      </c>
      <c r="L78" s="1"/>
      <c r="M78" s="1"/>
      <c r="N78" s="1" t="s">
        <v>413</v>
      </c>
      <c r="O78" s="1">
        <v>19</v>
      </c>
      <c r="P78" s="1" t="s">
        <v>528</v>
      </c>
      <c r="Q78" s="1" t="s">
        <v>282</v>
      </c>
      <c r="R78" s="1" t="s">
        <v>370</v>
      </c>
      <c r="S78" s="1" t="s">
        <v>412</v>
      </c>
      <c r="T78" s="1" t="s">
        <v>456</v>
      </c>
      <c r="U78" s="1" t="s">
        <v>811</v>
      </c>
      <c r="V78" s="1" t="s">
        <v>813</v>
      </c>
      <c r="W78" s="1" t="s">
        <v>814</v>
      </c>
      <c r="X78" s="1" t="s">
        <v>815</v>
      </c>
      <c r="Y78" s="1"/>
    </row>
    <row r="79" spans="1:25" ht="28.5" hidden="1">
      <c r="A79" s="1" t="s">
        <v>816</v>
      </c>
      <c r="B79" s="1"/>
      <c r="C79" s="1" t="s">
        <v>487</v>
      </c>
      <c r="D79" s="1" t="s">
        <v>27</v>
      </c>
      <c r="E79" s="1" t="s">
        <v>449</v>
      </c>
      <c r="F79" s="1" t="s">
        <v>488</v>
      </c>
      <c r="G79" s="1"/>
      <c r="H79" s="1" t="s">
        <v>817</v>
      </c>
      <c r="I79" s="1" t="s">
        <v>818</v>
      </c>
      <c r="J79" s="1" t="s">
        <v>819</v>
      </c>
      <c r="K79" s="1" t="s">
        <v>820</v>
      </c>
      <c r="L79" s="1"/>
      <c r="M79" s="1"/>
      <c r="N79" s="1" t="s">
        <v>413</v>
      </c>
      <c r="O79" s="1">
        <v>24</v>
      </c>
      <c r="P79" s="1" t="s">
        <v>528</v>
      </c>
      <c r="Q79" s="1" t="s">
        <v>282</v>
      </c>
      <c r="R79" s="1" t="s">
        <v>370</v>
      </c>
      <c r="S79" s="1" t="s">
        <v>412</v>
      </c>
      <c r="T79" s="1" t="s">
        <v>456</v>
      </c>
      <c r="U79" s="1"/>
      <c r="V79" s="1" t="s">
        <v>818</v>
      </c>
      <c r="W79" s="1" t="s">
        <v>819</v>
      </c>
      <c r="X79" s="1" t="s">
        <v>820</v>
      </c>
      <c r="Y79" s="1"/>
    </row>
    <row r="80" spans="1:25" ht="57" hidden="1">
      <c r="A80" s="1" t="s">
        <v>821</v>
      </c>
      <c r="B80" s="1"/>
      <c r="C80" s="1" t="s">
        <v>487</v>
      </c>
      <c r="D80" s="1" t="s">
        <v>27</v>
      </c>
      <c r="E80" s="1" t="s">
        <v>449</v>
      </c>
      <c r="F80" s="1" t="s">
        <v>488</v>
      </c>
      <c r="G80" s="1"/>
      <c r="H80" s="1" t="s">
        <v>822</v>
      </c>
      <c r="I80" s="1" t="s">
        <v>823</v>
      </c>
      <c r="J80" s="1" t="s">
        <v>824</v>
      </c>
      <c r="K80" s="1" t="s">
        <v>825</v>
      </c>
      <c r="L80" s="1"/>
      <c r="M80" s="1"/>
      <c r="N80" s="1" t="s">
        <v>413</v>
      </c>
      <c r="O80" s="1">
        <v>25</v>
      </c>
      <c r="P80" s="1" t="s">
        <v>528</v>
      </c>
      <c r="Q80" s="1" t="s">
        <v>282</v>
      </c>
      <c r="R80" s="1" t="s">
        <v>370</v>
      </c>
      <c r="S80" s="1" t="s">
        <v>412</v>
      </c>
      <c r="T80" s="1" t="s">
        <v>456</v>
      </c>
      <c r="U80" s="1"/>
      <c r="V80" s="1" t="s">
        <v>823</v>
      </c>
      <c r="W80" s="1" t="s">
        <v>824</v>
      </c>
      <c r="X80" s="1" t="s">
        <v>825</v>
      </c>
      <c r="Y80" s="1"/>
    </row>
    <row r="81" spans="1:25" ht="42.75" hidden="1">
      <c r="A81" s="1" t="s">
        <v>826</v>
      </c>
      <c r="B81" s="1" t="s">
        <v>210</v>
      </c>
      <c r="C81" s="1" t="s">
        <v>448</v>
      </c>
      <c r="D81" s="1" t="s">
        <v>27</v>
      </c>
      <c r="E81" s="1" t="s">
        <v>449</v>
      </c>
      <c r="F81" s="1" t="s">
        <v>450</v>
      </c>
      <c r="G81" s="1" t="s">
        <v>827</v>
      </c>
      <c r="H81" s="1" t="s">
        <v>828</v>
      </c>
      <c r="I81" s="1" t="s">
        <v>829</v>
      </c>
      <c r="J81" s="1" t="s">
        <v>830</v>
      </c>
      <c r="K81" s="1" t="s">
        <v>831</v>
      </c>
      <c r="L81" s="1"/>
      <c r="M81" s="1"/>
      <c r="N81" s="1" t="s">
        <v>402</v>
      </c>
      <c r="O81" s="1">
        <v>7</v>
      </c>
      <c r="P81" s="1" t="s">
        <v>450</v>
      </c>
      <c r="Q81" s="1" t="s">
        <v>211</v>
      </c>
      <c r="R81" s="1" t="s">
        <v>370</v>
      </c>
      <c r="S81" s="1" t="s">
        <v>401</v>
      </c>
      <c r="T81" s="1" t="s">
        <v>49</v>
      </c>
      <c r="U81" s="1" t="s">
        <v>827</v>
      </c>
      <c r="V81" s="1" t="s">
        <v>829</v>
      </c>
      <c r="W81" s="1" t="s">
        <v>830</v>
      </c>
      <c r="X81" s="1" t="s">
        <v>831</v>
      </c>
      <c r="Y81" s="1"/>
    </row>
    <row r="82" spans="1:25" ht="57" hidden="1">
      <c r="A82" s="1" t="s">
        <v>832</v>
      </c>
      <c r="B82" s="1" t="s">
        <v>210</v>
      </c>
      <c r="C82" s="1" t="s">
        <v>448</v>
      </c>
      <c r="D82" s="1" t="s">
        <v>27</v>
      </c>
      <c r="E82" s="1" t="s">
        <v>449</v>
      </c>
      <c r="F82" s="1" t="s">
        <v>450</v>
      </c>
      <c r="G82" s="1" t="s">
        <v>833</v>
      </c>
      <c r="H82" s="1" t="s">
        <v>834</v>
      </c>
      <c r="I82" s="1" t="s">
        <v>835</v>
      </c>
      <c r="J82" s="1" t="s">
        <v>836</v>
      </c>
      <c r="K82" s="1" t="s">
        <v>837</v>
      </c>
      <c r="L82" s="1"/>
      <c r="M82" s="1"/>
      <c r="N82" s="1" t="s">
        <v>402</v>
      </c>
      <c r="O82" s="1">
        <v>8</v>
      </c>
      <c r="P82" s="1" t="s">
        <v>450</v>
      </c>
      <c r="Q82" s="1" t="s">
        <v>211</v>
      </c>
      <c r="R82" s="1" t="s">
        <v>370</v>
      </c>
      <c r="S82" s="1" t="s">
        <v>401</v>
      </c>
      <c r="T82" s="1" t="s">
        <v>49</v>
      </c>
      <c r="U82" s="1" t="s">
        <v>833</v>
      </c>
      <c r="V82" s="1" t="s">
        <v>835</v>
      </c>
      <c r="W82" s="1" t="s">
        <v>836</v>
      </c>
      <c r="X82" s="1" t="s">
        <v>837</v>
      </c>
      <c r="Y82" s="1"/>
    </row>
    <row r="83" spans="1:25" ht="42.75" hidden="1">
      <c r="A83" s="1" t="s">
        <v>838</v>
      </c>
      <c r="B83" s="1" t="s">
        <v>238</v>
      </c>
      <c r="C83" s="1" t="s">
        <v>448</v>
      </c>
      <c r="D83" s="1" t="s">
        <v>27</v>
      </c>
      <c r="E83" s="1" t="s">
        <v>449</v>
      </c>
      <c r="F83" s="1" t="s">
        <v>450</v>
      </c>
      <c r="G83" s="1" t="s">
        <v>458</v>
      </c>
      <c r="H83" s="1" t="s">
        <v>839</v>
      </c>
      <c r="I83" s="1" t="s">
        <v>840</v>
      </c>
      <c r="J83" s="1" t="s">
        <v>841</v>
      </c>
      <c r="K83" s="1" t="s">
        <v>842</v>
      </c>
      <c r="L83" s="1"/>
      <c r="M83" s="1"/>
      <c r="N83" s="1" t="s">
        <v>402</v>
      </c>
      <c r="O83" s="1">
        <v>9</v>
      </c>
      <c r="P83" s="1" t="s">
        <v>450</v>
      </c>
      <c r="Q83" s="1" t="s">
        <v>211</v>
      </c>
      <c r="R83" s="1" t="s">
        <v>370</v>
      </c>
      <c r="S83" s="1" t="s">
        <v>401</v>
      </c>
      <c r="T83" s="1" t="s">
        <v>49</v>
      </c>
      <c r="U83" s="1" t="s">
        <v>458</v>
      </c>
      <c r="V83" s="1" t="s">
        <v>840</v>
      </c>
      <c r="W83" s="1" t="s">
        <v>841</v>
      </c>
      <c r="X83" s="1" t="s">
        <v>842</v>
      </c>
      <c r="Y83" s="1"/>
    </row>
    <row r="84" spans="1:25" ht="71.25" hidden="1">
      <c r="A84" s="1" t="s">
        <v>843</v>
      </c>
      <c r="B84" s="1" t="s">
        <v>238</v>
      </c>
      <c r="C84" s="1" t="s">
        <v>448</v>
      </c>
      <c r="D84" s="1" t="s">
        <v>27</v>
      </c>
      <c r="E84" s="1" t="s">
        <v>449</v>
      </c>
      <c r="F84" s="1" t="s">
        <v>450</v>
      </c>
      <c r="G84" s="1" t="s">
        <v>464</v>
      </c>
      <c r="H84" s="1" t="s">
        <v>844</v>
      </c>
      <c r="I84" s="1" t="s">
        <v>845</v>
      </c>
      <c r="J84" s="1" t="s">
        <v>846</v>
      </c>
      <c r="K84" s="1" t="s">
        <v>847</v>
      </c>
      <c r="L84" s="1"/>
      <c r="M84" s="1"/>
      <c r="N84" s="1" t="s">
        <v>402</v>
      </c>
      <c r="O84" s="1">
        <v>10</v>
      </c>
      <c r="P84" s="1" t="s">
        <v>450</v>
      </c>
      <c r="Q84" s="1" t="s">
        <v>211</v>
      </c>
      <c r="R84" s="1" t="s">
        <v>370</v>
      </c>
      <c r="S84" s="1" t="s">
        <v>401</v>
      </c>
      <c r="T84" s="1" t="s">
        <v>49</v>
      </c>
      <c r="U84" s="1" t="s">
        <v>464</v>
      </c>
      <c r="V84" s="1" t="s">
        <v>845</v>
      </c>
      <c r="W84" s="1" t="s">
        <v>846</v>
      </c>
      <c r="X84" s="1" t="s">
        <v>847</v>
      </c>
      <c r="Y84" s="1"/>
    </row>
    <row r="85" spans="1:25" ht="57" hidden="1">
      <c r="A85" s="1" t="s">
        <v>848</v>
      </c>
      <c r="B85" s="1" t="s">
        <v>238</v>
      </c>
      <c r="C85" s="1" t="s">
        <v>448</v>
      </c>
      <c r="D85" s="1" t="s">
        <v>27</v>
      </c>
      <c r="E85" s="1" t="s">
        <v>449</v>
      </c>
      <c r="F85" s="1" t="s">
        <v>450</v>
      </c>
      <c r="G85" s="1" t="s">
        <v>470</v>
      </c>
      <c r="H85" s="1" t="s">
        <v>849</v>
      </c>
      <c r="I85" s="1" t="s">
        <v>850</v>
      </c>
      <c r="J85" s="1" t="s">
        <v>851</v>
      </c>
      <c r="K85" s="1" t="s">
        <v>852</v>
      </c>
      <c r="L85" s="1"/>
      <c r="M85" s="1"/>
      <c r="N85" s="1" t="s">
        <v>402</v>
      </c>
      <c r="O85" s="1">
        <v>11</v>
      </c>
      <c r="P85" s="1" t="s">
        <v>450</v>
      </c>
      <c r="Q85" s="1" t="s">
        <v>211</v>
      </c>
      <c r="R85" s="1" t="s">
        <v>370</v>
      </c>
      <c r="S85" s="1" t="s">
        <v>401</v>
      </c>
      <c r="T85" s="1" t="s">
        <v>49</v>
      </c>
      <c r="U85" s="1" t="s">
        <v>470</v>
      </c>
      <c r="V85" s="1" t="s">
        <v>850</v>
      </c>
      <c r="W85" s="1" t="s">
        <v>851</v>
      </c>
      <c r="X85" s="1" t="s">
        <v>852</v>
      </c>
      <c r="Y85" s="1"/>
    </row>
    <row r="86" spans="1:25" ht="28.5" hidden="1">
      <c r="A86" s="1" t="s">
        <v>853</v>
      </c>
      <c r="B86" s="1" t="s">
        <v>238</v>
      </c>
      <c r="C86" s="1" t="s">
        <v>448</v>
      </c>
      <c r="D86" s="1" t="s">
        <v>27</v>
      </c>
      <c r="E86" s="1" t="s">
        <v>449</v>
      </c>
      <c r="F86" s="1" t="s">
        <v>450</v>
      </c>
      <c r="G86" s="1" t="s">
        <v>475</v>
      </c>
      <c r="H86" s="1" t="s">
        <v>854</v>
      </c>
      <c r="I86" s="1" t="s">
        <v>855</v>
      </c>
      <c r="J86" s="1" t="s">
        <v>856</v>
      </c>
      <c r="K86" s="1" t="s">
        <v>857</v>
      </c>
      <c r="L86" s="1"/>
      <c r="M86" s="1"/>
      <c r="N86" s="1" t="s">
        <v>402</v>
      </c>
      <c r="O86" s="1">
        <v>12</v>
      </c>
      <c r="P86" s="1" t="s">
        <v>450</v>
      </c>
      <c r="Q86" s="1" t="s">
        <v>211</v>
      </c>
      <c r="R86" s="1" t="s">
        <v>370</v>
      </c>
      <c r="S86" s="1" t="s">
        <v>401</v>
      </c>
      <c r="T86" s="1" t="s">
        <v>49</v>
      </c>
      <c r="U86" s="1" t="s">
        <v>475</v>
      </c>
      <c r="V86" s="1" t="s">
        <v>855</v>
      </c>
      <c r="W86" s="1" t="s">
        <v>856</v>
      </c>
      <c r="X86" s="1" t="s">
        <v>857</v>
      </c>
      <c r="Y86" s="1"/>
    </row>
    <row r="87" spans="1:25" ht="28.5" hidden="1">
      <c r="A87" s="1" t="s">
        <v>858</v>
      </c>
      <c r="B87" s="1" t="s">
        <v>238</v>
      </c>
      <c r="C87" s="1" t="s">
        <v>448</v>
      </c>
      <c r="D87" s="1" t="s">
        <v>27</v>
      </c>
      <c r="E87" s="1" t="s">
        <v>449</v>
      </c>
      <c r="F87" s="1" t="s">
        <v>450</v>
      </c>
      <c r="G87" s="1" t="s">
        <v>481</v>
      </c>
      <c r="H87" s="1" t="s">
        <v>859</v>
      </c>
      <c r="I87" s="1" t="s">
        <v>860</v>
      </c>
      <c r="J87" s="1" t="s">
        <v>836</v>
      </c>
      <c r="K87" s="1" t="s">
        <v>861</v>
      </c>
      <c r="L87" s="1"/>
      <c r="M87" s="1"/>
      <c r="N87" s="1" t="s">
        <v>402</v>
      </c>
      <c r="O87" s="1">
        <v>13</v>
      </c>
      <c r="P87" s="1" t="s">
        <v>450</v>
      </c>
      <c r="Q87" s="1" t="s">
        <v>211</v>
      </c>
      <c r="R87" s="1" t="s">
        <v>370</v>
      </c>
      <c r="S87" s="1" t="s">
        <v>401</v>
      </c>
      <c r="T87" s="1" t="s">
        <v>49</v>
      </c>
      <c r="U87" s="1" t="s">
        <v>481</v>
      </c>
      <c r="V87" s="1" t="s">
        <v>860</v>
      </c>
      <c r="W87" s="1" t="s">
        <v>836</v>
      </c>
      <c r="X87" s="1" t="s">
        <v>861</v>
      </c>
      <c r="Y87" s="1"/>
    </row>
    <row r="88" spans="1:25" ht="71.25" hidden="1">
      <c r="A88" s="1" t="s">
        <v>862</v>
      </c>
      <c r="B88" s="1" t="s">
        <v>238</v>
      </c>
      <c r="C88" s="1" t="s">
        <v>448</v>
      </c>
      <c r="D88" s="1" t="s">
        <v>27</v>
      </c>
      <c r="E88" s="1" t="s">
        <v>449</v>
      </c>
      <c r="F88" s="1" t="s">
        <v>450</v>
      </c>
      <c r="G88" s="1" t="s">
        <v>641</v>
      </c>
      <c r="H88" s="1" t="s">
        <v>863</v>
      </c>
      <c r="I88" s="1" t="s">
        <v>864</v>
      </c>
      <c r="J88" s="1" t="s">
        <v>865</v>
      </c>
      <c r="K88" s="1" t="s">
        <v>866</v>
      </c>
      <c r="L88" s="1"/>
      <c r="M88" s="1"/>
      <c r="N88" s="1" t="s">
        <v>402</v>
      </c>
      <c r="O88" s="1">
        <v>14</v>
      </c>
      <c r="P88" s="1" t="s">
        <v>450</v>
      </c>
      <c r="Q88" s="1" t="s">
        <v>211</v>
      </c>
      <c r="R88" s="1" t="s">
        <v>370</v>
      </c>
      <c r="S88" s="1" t="s">
        <v>401</v>
      </c>
      <c r="T88" s="1" t="s">
        <v>49</v>
      </c>
      <c r="U88" s="1" t="s">
        <v>641</v>
      </c>
      <c r="V88" s="1" t="s">
        <v>864</v>
      </c>
      <c r="W88" s="1" t="s">
        <v>865</v>
      </c>
      <c r="X88" s="1" t="s">
        <v>866</v>
      </c>
      <c r="Y88" s="1"/>
    </row>
    <row r="89" spans="1:25" ht="42.75" hidden="1">
      <c r="A89" s="1" t="s">
        <v>867</v>
      </c>
      <c r="B89" s="1" t="s">
        <v>238</v>
      </c>
      <c r="C89" s="1" t="s">
        <v>448</v>
      </c>
      <c r="D89" s="1" t="s">
        <v>27</v>
      </c>
      <c r="E89" s="1" t="s">
        <v>449</v>
      </c>
      <c r="F89" s="1" t="s">
        <v>450</v>
      </c>
      <c r="G89" s="1" t="s">
        <v>645</v>
      </c>
      <c r="H89" s="1" t="s">
        <v>868</v>
      </c>
      <c r="I89" s="1" t="s">
        <v>869</v>
      </c>
      <c r="J89" s="1" t="s">
        <v>870</v>
      </c>
      <c r="K89" s="1" t="s">
        <v>871</v>
      </c>
      <c r="L89" s="1"/>
      <c r="M89" s="1"/>
      <c r="N89" s="1" t="s">
        <v>402</v>
      </c>
      <c r="O89" s="1">
        <v>15</v>
      </c>
      <c r="P89" s="1" t="s">
        <v>450</v>
      </c>
      <c r="Q89" s="1" t="s">
        <v>211</v>
      </c>
      <c r="R89" s="1" t="s">
        <v>370</v>
      </c>
      <c r="S89" s="1" t="s">
        <v>401</v>
      </c>
      <c r="T89" s="1" t="s">
        <v>49</v>
      </c>
      <c r="U89" s="1" t="s">
        <v>645</v>
      </c>
      <c r="V89" s="1" t="s">
        <v>869</v>
      </c>
      <c r="W89" s="1" t="s">
        <v>870</v>
      </c>
      <c r="X89" s="1" t="s">
        <v>871</v>
      </c>
      <c r="Y89" s="1"/>
    </row>
    <row r="90" spans="1:25" ht="28.5" hidden="1">
      <c r="A90" s="1" t="s">
        <v>872</v>
      </c>
      <c r="B90" s="1" t="s">
        <v>238</v>
      </c>
      <c r="C90" s="1" t="s">
        <v>448</v>
      </c>
      <c r="D90" s="1" t="s">
        <v>27</v>
      </c>
      <c r="E90" s="1" t="s">
        <v>449</v>
      </c>
      <c r="F90" s="1" t="s">
        <v>450</v>
      </c>
      <c r="G90" s="1" t="s">
        <v>873</v>
      </c>
      <c r="H90" s="1" t="s">
        <v>874</v>
      </c>
      <c r="I90" s="1" t="s">
        <v>875</v>
      </c>
      <c r="J90" s="1" t="s">
        <v>876</v>
      </c>
      <c r="K90" s="1" t="s">
        <v>877</v>
      </c>
      <c r="L90" s="1"/>
      <c r="M90" s="1"/>
      <c r="N90" s="1" t="s">
        <v>402</v>
      </c>
      <c r="O90" s="1">
        <v>16</v>
      </c>
      <c r="P90" s="1" t="s">
        <v>450</v>
      </c>
      <c r="Q90" s="1" t="s">
        <v>211</v>
      </c>
      <c r="R90" s="1" t="s">
        <v>370</v>
      </c>
      <c r="S90" s="1" t="s">
        <v>401</v>
      </c>
      <c r="T90" s="1" t="s">
        <v>49</v>
      </c>
      <c r="U90" s="1" t="s">
        <v>873</v>
      </c>
      <c r="V90" s="1" t="s">
        <v>875</v>
      </c>
      <c r="W90" s="1" t="s">
        <v>876</v>
      </c>
      <c r="X90" s="1" t="s">
        <v>877</v>
      </c>
      <c r="Y90" s="1"/>
    </row>
    <row r="91" spans="1:25" ht="57" hidden="1">
      <c r="A91" s="1" t="s">
        <v>878</v>
      </c>
      <c r="B91" s="1"/>
      <c r="C91" s="1" t="s">
        <v>487</v>
      </c>
      <c r="D91" s="1" t="s">
        <v>27</v>
      </c>
      <c r="E91" s="1" t="s">
        <v>449</v>
      </c>
      <c r="F91" s="1" t="s">
        <v>488</v>
      </c>
      <c r="G91" s="1"/>
      <c r="H91" s="1" t="s">
        <v>879</v>
      </c>
      <c r="I91" s="1" t="s">
        <v>880</v>
      </c>
      <c r="J91" s="1" t="s">
        <v>836</v>
      </c>
      <c r="K91" s="1" t="s">
        <v>881</v>
      </c>
      <c r="L91" s="1"/>
      <c r="M91" s="1"/>
      <c r="N91" s="1" t="s">
        <v>402</v>
      </c>
      <c r="O91" s="1">
        <v>24</v>
      </c>
      <c r="P91" s="1" t="s">
        <v>450</v>
      </c>
      <c r="Q91" s="1" t="s">
        <v>211</v>
      </c>
      <c r="R91" s="1" t="s">
        <v>370</v>
      </c>
      <c r="S91" s="1" t="s">
        <v>401</v>
      </c>
      <c r="T91" s="1" t="s">
        <v>49</v>
      </c>
      <c r="U91" s="1"/>
      <c r="V91" s="1" t="s">
        <v>880</v>
      </c>
      <c r="W91" s="1" t="s">
        <v>836</v>
      </c>
      <c r="X91" s="1" t="s">
        <v>881</v>
      </c>
      <c r="Y91" s="1"/>
    </row>
    <row r="92" spans="1:25" ht="28.5" hidden="1">
      <c r="A92" s="1" t="s">
        <v>882</v>
      </c>
      <c r="B92" s="1" t="s">
        <v>327</v>
      </c>
      <c r="C92" s="1" t="s">
        <v>448</v>
      </c>
      <c r="D92" s="1" t="s">
        <v>27</v>
      </c>
      <c r="E92" s="1" t="s">
        <v>449</v>
      </c>
      <c r="F92" s="1" t="s">
        <v>528</v>
      </c>
      <c r="G92" s="1" t="s">
        <v>464</v>
      </c>
      <c r="H92" s="1" t="s">
        <v>883</v>
      </c>
      <c r="I92" s="1" t="s">
        <v>884</v>
      </c>
      <c r="J92" s="1" t="s">
        <v>885</v>
      </c>
      <c r="K92" s="1" t="s">
        <v>886</v>
      </c>
      <c r="L92" s="1"/>
      <c r="M92" s="1"/>
      <c r="N92" s="1" t="s">
        <v>427</v>
      </c>
      <c r="O92" s="1">
        <v>7</v>
      </c>
      <c r="P92" s="1" t="s">
        <v>528</v>
      </c>
      <c r="Q92" s="1" t="s">
        <v>328</v>
      </c>
      <c r="R92" s="1" t="s">
        <v>370</v>
      </c>
      <c r="S92" s="1" t="s">
        <v>426</v>
      </c>
      <c r="T92" s="1" t="s">
        <v>33</v>
      </c>
      <c r="U92" s="1" t="s">
        <v>464</v>
      </c>
      <c r="V92" s="1" t="s">
        <v>884</v>
      </c>
      <c r="W92" s="1" t="s">
        <v>885</v>
      </c>
      <c r="X92" s="1" t="s">
        <v>886</v>
      </c>
      <c r="Y92" s="1"/>
    </row>
    <row r="93" spans="1:25" ht="28.5" hidden="1">
      <c r="A93" s="1" t="s">
        <v>887</v>
      </c>
      <c r="B93" s="1" t="s">
        <v>327</v>
      </c>
      <c r="C93" s="1" t="s">
        <v>448</v>
      </c>
      <c r="D93" s="1" t="s">
        <v>27</v>
      </c>
      <c r="E93" s="1" t="s">
        <v>449</v>
      </c>
      <c r="F93" s="1" t="s">
        <v>528</v>
      </c>
      <c r="G93" s="1" t="s">
        <v>470</v>
      </c>
      <c r="H93" s="1" t="s">
        <v>888</v>
      </c>
      <c r="I93" s="1" t="s">
        <v>889</v>
      </c>
      <c r="J93" s="1" t="s">
        <v>890</v>
      </c>
      <c r="K93" s="1" t="s">
        <v>891</v>
      </c>
      <c r="L93" s="1"/>
      <c r="M93" s="1"/>
      <c r="N93" s="1" t="s">
        <v>427</v>
      </c>
      <c r="O93" s="1">
        <v>8</v>
      </c>
      <c r="P93" s="1" t="s">
        <v>528</v>
      </c>
      <c r="Q93" s="1" t="s">
        <v>328</v>
      </c>
      <c r="R93" s="1" t="s">
        <v>370</v>
      </c>
      <c r="S93" s="1" t="s">
        <v>426</v>
      </c>
      <c r="T93" s="1" t="s">
        <v>33</v>
      </c>
      <c r="U93" s="1" t="s">
        <v>470</v>
      </c>
      <c r="V93" s="1" t="s">
        <v>889</v>
      </c>
      <c r="W93" s="1" t="s">
        <v>890</v>
      </c>
      <c r="X93" s="1" t="s">
        <v>891</v>
      </c>
      <c r="Y93" s="1"/>
    </row>
    <row r="94" spans="1:25" ht="42.75" hidden="1">
      <c r="A94" s="1" t="s">
        <v>892</v>
      </c>
      <c r="B94" s="1" t="s">
        <v>327</v>
      </c>
      <c r="C94" s="1" t="s">
        <v>448</v>
      </c>
      <c r="D94" s="1" t="s">
        <v>27</v>
      </c>
      <c r="E94" s="1" t="s">
        <v>449</v>
      </c>
      <c r="F94" s="1" t="s">
        <v>528</v>
      </c>
      <c r="G94" s="1" t="s">
        <v>475</v>
      </c>
      <c r="H94" s="1" t="s">
        <v>893</v>
      </c>
      <c r="I94" s="1" t="s">
        <v>894</v>
      </c>
      <c r="J94" s="1" t="s">
        <v>895</v>
      </c>
      <c r="K94" s="1" t="s">
        <v>896</v>
      </c>
      <c r="L94" s="1"/>
      <c r="M94" s="1"/>
      <c r="N94" s="1" t="s">
        <v>427</v>
      </c>
      <c r="O94" s="1">
        <v>9</v>
      </c>
      <c r="P94" s="1" t="s">
        <v>528</v>
      </c>
      <c r="Q94" s="1" t="s">
        <v>328</v>
      </c>
      <c r="R94" s="1" t="s">
        <v>370</v>
      </c>
      <c r="S94" s="1" t="s">
        <v>426</v>
      </c>
      <c r="T94" s="1" t="s">
        <v>33</v>
      </c>
      <c r="U94" s="1" t="s">
        <v>475</v>
      </c>
      <c r="V94" s="1" t="s">
        <v>894</v>
      </c>
      <c r="W94" s="1" t="s">
        <v>895</v>
      </c>
      <c r="X94" s="1" t="s">
        <v>896</v>
      </c>
      <c r="Y94" s="1"/>
    </row>
    <row r="95" spans="1:25" ht="28.5" hidden="1">
      <c r="A95" s="1" t="s">
        <v>897</v>
      </c>
      <c r="B95" s="1" t="s">
        <v>327</v>
      </c>
      <c r="C95" s="1" t="s">
        <v>448</v>
      </c>
      <c r="D95" s="1" t="s">
        <v>27</v>
      </c>
      <c r="E95" s="1" t="s">
        <v>449</v>
      </c>
      <c r="F95" s="1" t="s">
        <v>528</v>
      </c>
      <c r="G95" s="1" t="s">
        <v>481</v>
      </c>
      <c r="H95" s="1" t="s">
        <v>898</v>
      </c>
      <c r="I95" s="1" t="s">
        <v>899</v>
      </c>
      <c r="J95" s="1" t="s">
        <v>900</v>
      </c>
      <c r="K95" s="1" t="s">
        <v>901</v>
      </c>
      <c r="L95" s="1"/>
      <c r="M95" s="1"/>
      <c r="N95" s="1" t="s">
        <v>427</v>
      </c>
      <c r="O95" s="1">
        <v>10</v>
      </c>
      <c r="P95" s="1" t="s">
        <v>528</v>
      </c>
      <c r="Q95" s="1" t="s">
        <v>328</v>
      </c>
      <c r="R95" s="1" t="s">
        <v>370</v>
      </c>
      <c r="S95" s="1" t="s">
        <v>426</v>
      </c>
      <c r="T95" s="1" t="s">
        <v>33</v>
      </c>
      <c r="U95" s="1" t="s">
        <v>481</v>
      </c>
      <c r="V95" s="1" t="s">
        <v>899</v>
      </c>
      <c r="W95" s="1" t="s">
        <v>900</v>
      </c>
      <c r="X95" s="1" t="s">
        <v>901</v>
      </c>
      <c r="Y95" s="1"/>
    </row>
    <row r="96" spans="1:25" ht="28.5" hidden="1">
      <c r="A96" s="1" t="s">
        <v>902</v>
      </c>
      <c r="B96" s="1" t="s">
        <v>327</v>
      </c>
      <c r="C96" s="1" t="s">
        <v>448</v>
      </c>
      <c r="D96" s="1" t="s">
        <v>27</v>
      </c>
      <c r="E96" s="1" t="s">
        <v>449</v>
      </c>
      <c r="F96" s="1" t="s">
        <v>528</v>
      </c>
      <c r="G96" s="1" t="s">
        <v>641</v>
      </c>
      <c r="H96" s="1" t="s">
        <v>903</v>
      </c>
      <c r="I96" s="1" t="s">
        <v>904</v>
      </c>
      <c r="J96" s="1" t="s">
        <v>905</v>
      </c>
      <c r="K96" s="1" t="s">
        <v>906</v>
      </c>
      <c r="L96" s="1"/>
      <c r="M96" s="1"/>
      <c r="N96" s="1" t="s">
        <v>427</v>
      </c>
      <c r="O96" s="1">
        <v>11</v>
      </c>
      <c r="P96" s="1" t="s">
        <v>528</v>
      </c>
      <c r="Q96" s="1" t="s">
        <v>328</v>
      </c>
      <c r="R96" s="1" t="s">
        <v>370</v>
      </c>
      <c r="S96" s="1" t="s">
        <v>426</v>
      </c>
      <c r="T96" s="1" t="s">
        <v>33</v>
      </c>
      <c r="U96" s="1" t="s">
        <v>641</v>
      </c>
      <c r="V96" s="1" t="s">
        <v>904</v>
      </c>
      <c r="W96" s="1" t="s">
        <v>905</v>
      </c>
      <c r="X96" s="1" t="s">
        <v>906</v>
      </c>
      <c r="Y96" s="1"/>
    </row>
    <row r="97" spans="1:25" ht="28.5" hidden="1">
      <c r="A97" s="1" t="s">
        <v>907</v>
      </c>
      <c r="B97" s="1" t="s">
        <v>327</v>
      </c>
      <c r="C97" s="1" t="s">
        <v>448</v>
      </c>
      <c r="D97" s="1" t="s">
        <v>27</v>
      </c>
      <c r="E97" s="1" t="s">
        <v>449</v>
      </c>
      <c r="F97" s="1" t="s">
        <v>528</v>
      </c>
      <c r="G97" s="1" t="s">
        <v>645</v>
      </c>
      <c r="H97" s="1" t="s">
        <v>908</v>
      </c>
      <c r="I97" s="1" t="s">
        <v>909</v>
      </c>
      <c r="J97" s="1" t="s">
        <v>910</v>
      </c>
      <c r="K97" s="1" t="s">
        <v>911</v>
      </c>
      <c r="L97" s="1"/>
      <c r="M97" s="1"/>
      <c r="N97" s="1" t="s">
        <v>427</v>
      </c>
      <c r="O97" s="1">
        <v>12</v>
      </c>
      <c r="P97" s="1" t="s">
        <v>528</v>
      </c>
      <c r="Q97" s="1" t="s">
        <v>328</v>
      </c>
      <c r="R97" s="1" t="s">
        <v>370</v>
      </c>
      <c r="S97" s="1" t="s">
        <v>426</v>
      </c>
      <c r="T97" s="1" t="s">
        <v>33</v>
      </c>
      <c r="U97" s="1" t="s">
        <v>645</v>
      </c>
      <c r="V97" s="1" t="s">
        <v>909</v>
      </c>
      <c r="W97" s="1" t="s">
        <v>910</v>
      </c>
      <c r="X97" s="1" t="s">
        <v>911</v>
      </c>
      <c r="Y97" s="1"/>
    </row>
    <row r="98" spans="1:25" ht="42.75" hidden="1">
      <c r="A98" s="1" t="s">
        <v>912</v>
      </c>
      <c r="B98" s="1"/>
      <c r="C98" s="1" t="s">
        <v>448</v>
      </c>
      <c r="D98" s="1" t="s">
        <v>36</v>
      </c>
      <c r="E98" s="1" t="s">
        <v>586</v>
      </c>
      <c r="F98" s="1"/>
      <c r="G98" s="1"/>
      <c r="H98" s="1" t="s">
        <v>913</v>
      </c>
      <c r="I98" s="1" t="s">
        <v>914</v>
      </c>
      <c r="J98" s="1" t="s">
        <v>915</v>
      </c>
      <c r="K98" s="1" t="s">
        <v>916</v>
      </c>
      <c r="L98" s="1"/>
      <c r="M98" s="1"/>
      <c r="N98" s="1" t="s">
        <v>917</v>
      </c>
      <c r="O98" s="1">
        <v>8</v>
      </c>
      <c r="P98" s="1" t="s">
        <v>582</v>
      </c>
      <c r="Q98" s="1" t="s">
        <v>160</v>
      </c>
      <c r="R98" s="1" t="s">
        <v>370</v>
      </c>
      <c r="S98" s="1" t="s">
        <v>394</v>
      </c>
      <c r="T98" s="1" t="s">
        <v>33</v>
      </c>
      <c r="U98" s="1"/>
      <c r="V98" s="1" t="s">
        <v>914</v>
      </c>
      <c r="W98" s="1" t="s">
        <v>915</v>
      </c>
      <c r="X98" s="1" t="s">
        <v>916</v>
      </c>
      <c r="Y98" s="1" t="s">
        <v>591</v>
      </c>
    </row>
    <row r="99" spans="1:25" ht="42.75" hidden="1">
      <c r="A99" s="1" t="s">
        <v>918</v>
      </c>
      <c r="B99" s="1"/>
      <c r="C99" s="1" t="s">
        <v>448</v>
      </c>
      <c r="D99" s="1" t="s">
        <v>36</v>
      </c>
      <c r="E99" s="1" t="s">
        <v>586</v>
      </c>
      <c r="F99" s="1"/>
      <c r="G99" s="1"/>
      <c r="H99" s="1" t="s">
        <v>919</v>
      </c>
      <c r="I99" s="1" t="s">
        <v>920</v>
      </c>
      <c r="J99" s="1" t="s">
        <v>921</v>
      </c>
      <c r="K99" s="1"/>
      <c r="L99" s="1"/>
      <c r="M99" s="1"/>
      <c r="N99" s="1" t="s">
        <v>917</v>
      </c>
      <c r="O99" s="1">
        <v>9</v>
      </c>
      <c r="P99" s="1" t="s">
        <v>582</v>
      </c>
      <c r="Q99" s="1" t="s">
        <v>160</v>
      </c>
      <c r="R99" s="1" t="s">
        <v>370</v>
      </c>
      <c r="S99" s="1" t="s">
        <v>394</v>
      </c>
      <c r="T99" s="1" t="s">
        <v>33</v>
      </c>
      <c r="U99" s="1"/>
      <c r="V99" s="1" t="s">
        <v>920</v>
      </c>
      <c r="W99" s="1" t="s">
        <v>921</v>
      </c>
      <c r="X99" s="1"/>
      <c r="Y99" s="1" t="s">
        <v>591</v>
      </c>
    </row>
    <row r="100" spans="1:25" ht="28.5" hidden="1">
      <c r="A100" s="1" t="s">
        <v>922</v>
      </c>
      <c r="B100" s="1"/>
      <c r="C100" s="1" t="s">
        <v>448</v>
      </c>
      <c r="D100" s="1" t="s">
        <v>36</v>
      </c>
      <c r="E100" s="1" t="s">
        <v>586</v>
      </c>
      <c r="F100" s="1"/>
      <c r="G100" s="1"/>
      <c r="H100" s="1" t="s">
        <v>923</v>
      </c>
      <c r="I100" s="1" t="s">
        <v>924</v>
      </c>
      <c r="J100" s="1" t="s">
        <v>925</v>
      </c>
      <c r="K100" s="1" t="s">
        <v>926</v>
      </c>
      <c r="L100" s="1"/>
      <c r="M100" s="1"/>
      <c r="N100" s="1" t="s">
        <v>917</v>
      </c>
      <c r="O100" s="1">
        <v>10</v>
      </c>
      <c r="P100" s="1" t="s">
        <v>582</v>
      </c>
      <c r="Q100" s="1" t="s">
        <v>160</v>
      </c>
      <c r="R100" s="1" t="s">
        <v>370</v>
      </c>
      <c r="S100" s="1" t="s">
        <v>394</v>
      </c>
      <c r="T100" s="1" t="s">
        <v>33</v>
      </c>
      <c r="U100" s="1"/>
      <c r="V100" s="1" t="s">
        <v>924</v>
      </c>
      <c r="W100" s="1" t="s">
        <v>925</v>
      </c>
      <c r="X100" s="1" t="s">
        <v>926</v>
      </c>
      <c r="Y100" s="1" t="s">
        <v>591</v>
      </c>
    </row>
    <row r="101" spans="1:25" ht="28.5" hidden="1">
      <c r="A101" s="1" t="s">
        <v>927</v>
      </c>
      <c r="B101" s="1"/>
      <c r="C101" s="1" t="s">
        <v>448</v>
      </c>
      <c r="D101" s="1" t="s">
        <v>36</v>
      </c>
      <c r="E101" s="1" t="s">
        <v>586</v>
      </c>
      <c r="F101" s="1"/>
      <c r="G101" s="1"/>
      <c r="H101" s="1" t="s">
        <v>928</v>
      </c>
      <c r="I101" s="1" t="s">
        <v>929</v>
      </c>
      <c r="J101" s="1" t="s">
        <v>930</v>
      </c>
      <c r="K101" s="1"/>
      <c r="L101" s="1"/>
      <c r="M101" s="1"/>
      <c r="N101" s="1" t="s">
        <v>917</v>
      </c>
      <c r="O101" s="1">
        <v>11</v>
      </c>
      <c r="P101" s="1" t="s">
        <v>582</v>
      </c>
      <c r="Q101" s="1" t="s">
        <v>160</v>
      </c>
      <c r="R101" s="1" t="s">
        <v>370</v>
      </c>
      <c r="S101" s="1" t="s">
        <v>394</v>
      </c>
      <c r="T101" s="1" t="s">
        <v>33</v>
      </c>
      <c r="U101" s="1"/>
      <c r="V101" s="1" t="s">
        <v>929</v>
      </c>
      <c r="W101" s="1" t="s">
        <v>930</v>
      </c>
      <c r="X101" s="1"/>
      <c r="Y101" s="1" t="s">
        <v>591</v>
      </c>
    </row>
    <row r="102" spans="1:25" ht="28.5" hidden="1">
      <c r="A102" s="1" t="s">
        <v>931</v>
      </c>
      <c r="B102" s="1"/>
      <c r="C102" s="1" t="s">
        <v>448</v>
      </c>
      <c r="D102" s="1" t="s">
        <v>36</v>
      </c>
      <c r="E102" s="1" t="s">
        <v>586</v>
      </c>
      <c r="F102" s="1"/>
      <c r="G102" s="1"/>
      <c r="H102" s="1" t="s">
        <v>932</v>
      </c>
      <c r="I102" s="1" t="s">
        <v>933</v>
      </c>
      <c r="J102" s="1" t="s">
        <v>934</v>
      </c>
      <c r="K102" s="1" t="s">
        <v>935</v>
      </c>
      <c r="L102" s="1"/>
      <c r="M102" s="1"/>
      <c r="N102" s="1" t="s">
        <v>917</v>
      </c>
      <c r="O102" s="1">
        <v>12</v>
      </c>
      <c r="P102" s="1" t="s">
        <v>582</v>
      </c>
      <c r="Q102" s="1" t="s">
        <v>160</v>
      </c>
      <c r="R102" s="1" t="s">
        <v>370</v>
      </c>
      <c r="S102" s="1" t="s">
        <v>394</v>
      </c>
      <c r="T102" s="1" t="s">
        <v>33</v>
      </c>
      <c r="U102" s="1"/>
      <c r="V102" s="1" t="s">
        <v>933</v>
      </c>
      <c r="W102" s="1" t="s">
        <v>934</v>
      </c>
      <c r="X102" s="1" t="s">
        <v>935</v>
      </c>
      <c r="Y102" s="1" t="s">
        <v>591</v>
      </c>
    </row>
    <row r="103" spans="1:25" ht="42.75" hidden="1">
      <c r="A103" s="1" t="s">
        <v>936</v>
      </c>
      <c r="B103" s="1"/>
      <c r="C103" s="1" t="s">
        <v>448</v>
      </c>
      <c r="D103" s="1" t="s">
        <v>36</v>
      </c>
      <c r="E103" s="1" t="s">
        <v>586</v>
      </c>
      <c r="F103" s="1"/>
      <c r="G103" s="1"/>
      <c r="H103" s="1" t="s">
        <v>937</v>
      </c>
      <c r="I103" s="1" t="s">
        <v>938</v>
      </c>
      <c r="J103" s="1" t="s">
        <v>939</v>
      </c>
      <c r="K103" s="1" t="s">
        <v>940</v>
      </c>
      <c r="L103" s="1"/>
      <c r="M103" s="1"/>
      <c r="N103" s="1" t="s">
        <v>917</v>
      </c>
      <c r="O103" s="1">
        <v>13</v>
      </c>
      <c r="P103" s="1" t="s">
        <v>582</v>
      </c>
      <c r="Q103" s="1" t="s">
        <v>160</v>
      </c>
      <c r="R103" s="1" t="s">
        <v>370</v>
      </c>
      <c r="S103" s="1" t="s">
        <v>394</v>
      </c>
      <c r="T103" s="1" t="s">
        <v>33</v>
      </c>
      <c r="U103" s="1"/>
      <c r="V103" s="1" t="s">
        <v>938</v>
      </c>
      <c r="W103" s="1" t="s">
        <v>939</v>
      </c>
      <c r="X103" s="1" t="s">
        <v>940</v>
      </c>
      <c r="Y103" s="1" t="s">
        <v>591</v>
      </c>
    </row>
    <row r="104" spans="1:25" ht="28.5" hidden="1">
      <c r="A104" s="1" t="s">
        <v>941</v>
      </c>
      <c r="B104" s="1"/>
      <c r="C104" s="1" t="s">
        <v>448</v>
      </c>
      <c r="D104" s="1" t="s">
        <v>36</v>
      </c>
      <c r="E104" s="1" t="s">
        <v>586</v>
      </c>
      <c r="F104" s="1"/>
      <c r="G104" s="1"/>
      <c r="H104" s="1" t="s">
        <v>942</v>
      </c>
      <c r="I104" s="1" t="s">
        <v>943</v>
      </c>
      <c r="J104" s="1" t="s">
        <v>944</v>
      </c>
      <c r="K104" s="1" t="s">
        <v>945</v>
      </c>
      <c r="L104" s="1"/>
      <c r="M104" s="1"/>
      <c r="N104" s="1" t="s">
        <v>917</v>
      </c>
      <c r="O104" s="1">
        <v>14</v>
      </c>
      <c r="P104" s="1" t="s">
        <v>582</v>
      </c>
      <c r="Q104" s="1" t="s">
        <v>160</v>
      </c>
      <c r="R104" s="1" t="s">
        <v>370</v>
      </c>
      <c r="S104" s="1" t="s">
        <v>394</v>
      </c>
      <c r="T104" s="1" t="s">
        <v>33</v>
      </c>
      <c r="U104" s="1"/>
      <c r="V104" s="1" t="s">
        <v>943</v>
      </c>
      <c r="W104" s="1" t="s">
        <v>944</v>
      </c>
      <c r="X104" s="1" t="s">
        <v>945</v>
      </c>
      <c r="Y104" s="1" t="s">
        <v>591</v>
      </c>
    </row>
    <row r="105" spans="1:25" ht="28.5" hidden="1">
      <c r="A105" s="1" t="s">
        <v>946</v>
      </c>
      <c r="B105" s="1"/>
      <c r="C105" s="1" t="s">
        <v>448</v>
      </c>
      <c r="D105" s="1" t="s">
        <v>36</v>
      </c>
      <c r="E105" s="1" t="s">
        <v>586</v>
      </c>
      <c r="F105" s="1"/>
      <c r="G105" s="1"/>
      <c r="H105" s="1" t="s">
        <v>947</v>
      </c>
      <c r="I105" s="1" t="s">
        <v>948</v>
      </c>
      <c r="J105" s="1" t="s">
        <v>949</v>
      </c>
      <c r="K105" s="1" t="s">
        <v>950</v>
      </c>
      <c r="L105" s="1"/>
      <c r="M105" s="1"/>
      <c r="N105" s="1" t="s">
        <v>917</v>
      </c>
      <c r="O105" s="1">
        <v>15</v>
      </c>
      <c r="P105" s="1" t="s">
        <v>582</v>
      </c>
      <c r="Q105" s="1" t="s">
        <v>160</v>
      </c>
      <c r="R105" s="1" t="s">
        <v>370</v>
      </c>
      <c r="S105" s="1" t="s">
        <v>394</v>
      </c>
      <c r="T105" s="1" t="s">
        <v>33</v>
      </c>
      <c r="U105" s="1"/>
      <c r="V105" s="1" t="s">
        <v>948</v>
      </c>
      <c r="W105" s="1" t="s">
        <v>949</v>
      </c>
      <c r="X105" s="1" t="s">
        <v>950</v>
      </c>
      <c r="Y105" s="1" t="s">
        <v>591</v>
      </c>
    </row>
    <row r="106" spans="1:25" ht="28.5" hidden="1">
      <c r="A106" s="1" t="s">
        <v>951</v>
      </c>
      <c r="B106" s="1"/>
      <c r="C106" s="1" t="s">
        <v>448</v>
      </c>
      <c r="D106" s="1" t="s">
        <v>36</v>
      </c>
      <c r="E106" s="1" t="s">
        <v>586</v>
      </c>
      <c r="F106" s="1"/>
      <c r="G106" s="1"/>
      <c r="H106" s="1" t="s">
        <v>952</v>
      </c>
      <c r="I106" s="1" t="s">
        <v>953</v>
      </c>
      <c r="J106" s="1" t="s">
        <v>905</v>
      </c>
      <c r="K106" s="1" t="s">
        <v>954</v>
      </c>
      <c r="L106" s="1"/>
      <c r="M106" s="1"/>
      <c r="N106" s="1" t="s">
        <v>917</v>
      </c>
      <c r="O106" s="1">
        <v>16</v>
      </c>
      <c r="P106" s="1" t="s">
        <v>582</v>
      </c>
      <c r="Q106" s="1" t="s">
        <v>160</v>
      </c>
      <c r="R106" s="1" t="s">
        <v>370</v>
      </c>
      <c r="S106" s="1" t="s">
        <v>394</v>
      </c>
      <c r="T106" s="1" t="s">
        <v>33</v>
      </c>
      <c r="U106" s="1"/>
      <c r="V106" s="1" t="s">
        <v>953</v>
      </c>
      <c r="W106" s="1" t="s">
        <v>905</v>
      </c>
      <c r="X106" s="1" t="s">
        <v>954</v>
      </c>
      <c r="Y106" s="1" t="s">
        <v>591</v>
      </c>
    </row>
    <row r="107" spans="1:25" ht="28.5" hidden="1">
      <c r="A107" s="1" t="s">
        <v>955</v>
      </c>
      <c r="B107" s="1"/>
      <c r="C107" s="1" t="s">
        <v>448</v>
      </c>
      <c r="D107" s="1" t="s">
        <v>36</v>
      </c>
      <c r="E107" s="1" t="s">
        <v>586</v>
      </c>
      <c r="F107" s="1"/>
      <c r="G107" s="1"/>
      <c r="H107" s="1" t="s">
        <v>956</v>
      </c>
      <c r="I107" s="1" t="s">
        <v>957</v>
      </c>
      <c r="J107" s="1" t="s">
        <v>958</v>
      </c>
      <c r="K107" s="1" t="s">
        <v>959</v>
      </c>
      <c r="L107" s="1"/>
      <c r="M107" s="1"/>
      <c r="N107" s="1" t="s">
        <v>917</v>
      </c>
      <c r="O107" s="1">
        <v>17</v>
      </c>
      <c r="P107" s="1" t="s">
        <v>582</v>
      </c>
      <c r="Q107" s="1" t="s">
        <v>160</v>
      </c>
      <c r="R107" s="1" t="s">
        <v>370</v>
      </c>
      <c r="S107" s="1" t="s">
        <v>394</v>
      </c>
      <c r="T107" s="1" t="s">
        <v>33</v>
      </c>
      <c r="U107" s="1"/>
      <c r="V107" s="1" t="s">
        <v>957</v>
      </c>
      <c r="W107" s="1" t="s">
        <v>958</v>
      </c>
      <c r="X107" s="1" t="s">
        <v>959</v>
      </c>
      <c r="Y107" s="1" t="s">
        <v>591</v>
      </c>
    </row>
    <row r="108" spans="1:25" ht="28.5" hidden="1">
      <c r="A108" s="1" t="s">
        <v>960</v>
      </c>
      <c r="B108" s="1"/>
      <c r="C108" s="1" t="s">
        <v>487</v>
      </c>
      <c r="D108" s="1" t="s">
        <v>27</v>
      </c>
      <c r="E108" s="1" t="s">
        <v>449</v>
      </c>
      <c r="F108" s="1" t="s">
        <v>488</v>
      </c>
      <c r="G108" s="1"/>
      <c r="H108" s="1" t="s">
        <v>961</v>
      </c>
      <c r="I108" s="1" t="s">
        <v>962</v>
      </c>
      <c r="J108" s="1" t="s">
        <v>963</v>
      </c>
      <c r="K108" s="1"/>
      <c r="L108" s="1"/>
      <c r="M108" s="1"/>
      <c r="N108" s="1" t="s">
        <v>917</v>
      </c>
      <c r="O108" s="1">
        <v>23</v>
      </c>
      <c r="P108" s="1" t="s">
        <v>582</v>
      </c>
      <c r="Q108" s="1" t="s">
        <v>160</v>
      </c>
      <c r="R108" s="1" t="s">
        <v>370</v>
      </c>
      <c r="S108" s="1" t="s">
        <v>394</v>
      </c>
      <c r="T108" s="1" t="s">
        <v>33</v>
      </c>
      <c r="U108" s="1"/>
      <c r="V108" s="1" t="s">
        <v>962</v>
      </c>
      <c r="W108" s="1" t="s">
        <v>963</v>
      </c>
      <c r="X108" s="1"/>
      <c r="Y108" s="1"/>
    </row>
    <row r="109" spans="1:25" ht="28.5" hidden="1">
      <c r="A109" s="1" t="s">
        <v>964</v>
      </c>
      <c r="B109" s="1"/>
      <c r="C109" s="1" t="s">
        <v>487</v>
      </c>
      <c r="D109" s="1" t="s">
        <v>27</v>
      </c>
      <c r="E109" s="1" t="s">
        <v>449</v>
      </c>
      <c r="F109" s="1" t="s">
        <v>488</v>
      </c>
      <c r="G109" s="1"/>
      <c r="H109" s="1" t="s">
        <v>965</v>
      </c>
      <c r="I109" s="1" t="s">
        <v>966</v>
      </c>
      <c r="J109" s="1" t="s">
        <v>967</v>
      </c>
      <c r="K109" s="1" t="s">
        <v>968</v>
      </c>
      <c r="L109" s="1"/>
      <c r="M109" s="1"/>
      <c r="N109" s="1" t="s">
        <v>917</v>
      </c>
      <c r="O109" s="1">
        <v>24</v>
      </c>
      <c r="P109" s="1" t="s">
        <v>582</v>
      </c>
      <c r="Q109" s="1" t="s">
        <v>160</v>
      </c>
      <c r="R109" s="1" t="s">
        <v>370</v>
      </c>
      <c r="S109" s="1" t="s">
        <v>394</v>
      </c>
      <c r="T109" s="1" t="s">
        <v>33</v>
      </c>
      <c r="U109" s="1"/>
      <c r="V109" s="1" t="s">
        <v>966</v>
      </c>
      <c r="W109" s="1" t="s">
        <v>967</v>
      </c>
      <c r="X109" s="1" t="s">
        <v>968</v>
      </c>
      <c r="Y109" s="1"/>
    </row>
    <row r="110" spans="1:25" ht="28.5" hidden="1">
      <c r="A110" s="1" t="s">
        <v>969</v>
      </c>
      <c r="B110" s="1"/>
      <c r="C110" s="1" t="s">
        <v>487</v>
      </c>
      <c r="D110" s="1" t="s">
        <v>27</v>
      </c>
      <c r="E110" s="1" t="s">
        <v>449</v>
      </c>
      <c r="F110" s="1" t="s">
        <v>488</v>
      </c>
      <c r="G110" s="1"/>
      <c r="H110" s="1" t="s">
        <v>970</v>
      </c>
      <c r="I110" s="1" t="s">
        <v>971</v>
      </c>
      <c r="J110" s="1" t="s">
        <v>967</v>
      </c>
      <c r="K110" s="1" t="s">
        <v>972</v>
      </c>
      <c r="L110" s="1"/>
      <c r="M110" s="1"/>
      <c r="N110" s="1" t="s">
        <v>917</v>
      </c>
      <c r="O110" s="1">
        <v>25</v>
      </c>
      <c r="P110" s="1" t="s">
        <v>582</v>
      </c>
      <c r="Q110" s="1" t="s">
        <v>160</v>
      </c>
      <c r="R110" s="1" t="s">
        <v>370</v>
      </c>
      <c r="S110" s="1" t="s">
        <v>394</v>
      </c>
      <c r="T110" s="1" t="s">
        <v>33</v>
      </c>
      <c r="U110" s="1"/>
      <c r="V110" s="1" t="s">
        <v>971</v>
      </c>
      <c r="W110" s="1" t="s">
        <v>967</v>
      </c>
      <c r="X110" s="1" t="s">
        <v>972</v>
      </c>
      <c r="Y110" s="1"/>
    </row>
    <row r="111" spans="1:25" ht="42.75" hidden="1">
      <c r="A111" s="1" t="s">
        <v>973</v>
      </c>
      <c r="B111" s="1"/>
      <c r="C111" s="1" t="s">
        <v>487</v>
      </c>
      <c r="D111" s="1" t="s">
        <v>27</v>
      </c>
      <c r="E111" s="1" t="s">
        <v>449</v>
      </c>
      <c r="F111" s="1" t="s">
        <v>488</v>
      </c>
      <c r="G111" s="1"/>
      <c r="H111" s="1" t="s">
        <v>974</v>
      </c>
      <c r="I111" s="1" t="s">
        <v>975</v>
      </c>
      <c r="J111" s="1" t="s">
        <v>939</v>
      </c>
      <c r="K111" s="1" t="s">
        <v>976</v>
      </c>
      <c r="L111" s="1"/>
      <c r="M111" s="1"/>
      <c r="N111" s="1" t="s">
        <v>917</v>
      </c>
      <c r="O111" s="1">
        <v>26</v>
      </c>
      <c r="P111" s="1" t="s">
        <v>582</v>
      </c>
      <c r="Q111" s="1" t="s">
        <v>160</v>
      </c>
      <c r="R111" s="1" t="s">
        <v>370</v>
      </c>
      <c r="S111" s="1" t="s">
        <v>394</v>
      </c>
      <c r="T111" s="1" t="s">
        <v>33</v>
      </c>
      <c r="U111" s="1"/>
      <c r="V111" s="1" t="s">
        <v>975</v>
      </c>
      <c r="W111" s="1" t="s">
        <v>939</v>
      </c>
      <c r="X111" s="1" t="s">
        <v>976</v>
      </c>
      <c r="Y111" s="1"/>
    </row>
    <row r="112" spans="1:25" ht="28.5" hidden="1">
      <c r="A112" s="1" t="s">
        <v>977</v>
      </c>
      <c r="B112" s="1"/>
      <c r="C112" s="1" t="s">
        <v>487</v>
      </c>
      <c r="D112" s="1" t="s">
        <v>27</v>
      </c>
      <c r="E112" s="1" t="s">
        <v>449</v>
      </c>
      <c r="F112" s="1" t="s">
        <v>488</v>
      </c>
      <c r="G112" s="1"/>
      <c r="H112" s="1" t="s">
        <v>978</v>
      </c>
      <c r="I112" s="1" t="s">
        <v>979</v>
      </c>
      <c r="J112" s="1" t="s">
        <v>980</v>
      </c>
      <c r="K112" s="1" t="s">
        <v>733</v>
      </c>
      <c r="L112" s="1"/>
      <c r="M112" s="1"/>
      <c r="N112" s="1" t="s">
        <v>917</v>
      </c>
      <c r="O112" s="1">
        <v>27</v>
      </c>
      <c r="P112" s="1" t="s">
        <v>582</v>
      </c>
      <c r="Q112" s="1" t="s">
        <v>160</v>
      </c>
      <c r="R112" s="1" t="s">
        <v>370</v>
      </c>
      <c r="S112" s="1" t="s">
        <v>394</v>
      </c>
      <c r="T112" s="1" t="s">
        <v>33</v>
      </c>
      <c r="U112" s="1"/>
      <c r="V112" s="1" t="s">
        <v>979</v>
      </c>
      <c r="W112" s="1" t="s">
        <v>980</v>
      </c>
      <c r="X112" s="1" t="s">
        <v>733</v>
      </c>
      <c r="Y112" s="1"/>
    </row>
    <row r="113" spans="1:25" ht="28.5" hidden="1">
      <c r="A113" s="1" t="s">
        <v>981</v>
      </c>
      <c r="B113" s="1"/>
      <c r="C113" s="1" t="s">
        <v>487</v>
      </c>
      <c r="D113" s="1" t="s">
        <v>27</v>
      </c>
      <c r="E113" s="1" t="s">
        <v>449</v>
      </c>
      <c r="F113" s="1" t="s">
        <v>488</v>
      </c>
      <c r="G113" s="1"/>
      <c r="H113" s="1" t="s">
        <v>982</v>
      </c>
      <c r="I113" s="1" t="s">
        <v>983</v>
      </c>
      <c r="J113" s="1" t="s">
        <v>984</v>
      </c>
      <c r="K113" s="1" t="s">
        <v>985</v>
      </c>
      <c r="L113" s="1"/>
      <c r="M113" s="1"/>
      <c r="N113" s="1" t="s">
        <v>917</v>
      </c>
      <c r="O113" s="1">
        <v>28</v>
      </c>
      <c r="P113" s="1" t="s">
        <v>582</v>
      </c>
      <c r="Q113" s="1" t="s">
        <v>160</v>
      </c>
      <c r="R113" s="1" t="s">
        <v>370</v>
      </c>
      <c r="S113" s="1" t="s">
        <v>394</v>
      </c>
      <c r="T113" s="1" t="s">
        <v>33</v>
      </c>
      <c r="U113" s="1"/>
      <c r="V113" s="1" t="s">
        <v>983</v>
      </c>
      <c r="W113" s="1" t="s">
        <v>984</v>
      </c>
      <c r="X113" s="1" t="s">
        <v>985</v>
      </c>
      <c r="Y113" s="1"/>
    </row>
    <row r="114" spans="1:25" ht="42.75" hidden="1">
      <c r="A114" s="1" t="s">
        <v>986</v>
      </c>
      <c r="B114" s="1" t="s">
        <v>159</v>
      </c>
      <c r="C114" s="1" t="s">
        <v>448</v>
      </c>
      <c r="D114" s="1" t="s">
        <v>27</v>
      </c>
      <c r="E114" s="1" t="s">
        <v>449</v>
      </c>
      <c r="F114" s="1" t="s">
        <v>498</v>
      </c>
      <c r="G114" s="1" t="s">
        <v>451</v>
      </c>
      <c r="H114" s="1" t="s">
        <v>913</v>
      </c>
      <c r="I114" s="1" t="s">
        <v>914</v>
      </c>
      <c r="J114" s="1" t="s">
        <v>915</v>
      </c>
      <c r="K114" s="1" t="s">
        <v>916</v>
      </c>
      <c r="L114" s="1"/>
      <c r="M114" s="1"/>
      <c r="N114" s="1" t="s">
        <v>395</v>
      </c>
      <c r="O114" s="1">
        <v>7</v>
      </c>
      <c r="P114" s="1" t="s">
        <v>498</v>
      </c>
      <c r="Q114" s="1" t="s">
        <v>160</v>
      </c>
      <c r="R114" s="1" t="s">
        <v>370</v>
      </c>
      <c r="S114" s="1" t="s">
        <v>394</v>
      </c>
      <c r="T114" s="1" t="s">
        <v>33</v>
      </c>
      <c r="U114" s="1" t="s">
        <v>451</v>
      </c>
      <c r="V114" s="1" t="s">
        <v>914</v>
      </c>
      <c r="W114" s="1" t="s">
        <v>915</v>
      </c>
      <c r="X114" s="1" t="s">
        <v>916</v>
      </c>
      <c r="Y114" s="1"/>
    </row>
    <row r="115" spans="1:25" ht="42.75" hidden="1">
      <c r="A115" s="1" t="s">
        <v>987</v>
      </c>
      <c r="B115" s="1" t="s">
        <v>159</v>
      </c>
      <c r="C115" s="1" t="s">
        <v>448</v>
      </c>
      <c r="D115" s="1" t="s">
        <v>27</v>
      </c>
      <c r="E115" s="1" t="s">
        <v>449</v>
      </c>
      <c r="F115" s="1" t="s">
        <v>498</v>
      </c>
      <c r="G115" s="1" t="s">
        <v>458</v>
      </c>
      <c r="H115" s="1" t="s">
        <v>919</v>
      </c>
      <c r="I115" s="1" t="s">
        <v>920</v>
      </c>
      <c r="J115" s="1" t="s">
        <v>921</v>
      </c>
      <c r="K115" s="1"/>
      <c r="L115" s="1"/>
      <c r="M115" s="1"/>
      <c r="N115" s="1" t="s">
        <v>395</v>
      </c>
      <c r="O115" s="1">
        <v>8</v>
      </c>
      <c r="P115" s="1" t="s">
        <v>498</v>
      </c>
      <c r="Q115" s="1" t="s">
        <v>160</v>
      </c>
      <c r="R115" s="1" t="s">
        <v>370</v>
      </c>
      <c r="S115" s="1" t="s">
        <v>394</v>
      </c>
      <c r="T115" s="1" t="s">
        <v>33</v>
      </c>
      <c r="U115" s="1" t="s">
        <v>458</v>
      </c>
      <c r="V115" s="1" t="s">
        <v>920</v>
      </c>
      <c r="W115" s="1" t="s">
        <v>921</v>
      </c>
      <c r="X115" s="1"/>
      <c r="Y115" s="1"/>
    </row>
    <row r="116" spans="1:25" ht="28.5" hidden="1">
      <c r="A116" s="1" t="s">
        <v>988</v>
      </c>
      <c r="B116" s="1" t="s">
        <v>159</v>
      </c>
      <c r="C116" s="1" t="s">
        <v>448</v>
      </c>
      <c r="D116" s="1" t="s">
        <v>27</v>
      </c>
      <c r="E116" s="1" t="s">
        <v>449</v>
      </c>
      <c r="F116" s="1" t="s">
        <v>498</v>
      </c>
      <c r="G116" s="1" t="s">
        <v>464</v>
      </c>
      <c r="H116" s="1" t="s">
        <v>923</v>
      </c>
      <c r="I116" s="1" t="s">
        <v>924</v>
      </c>
      <c r="J116" s="1" t="s">
        <v>925</v>
      </c>
      <c r="K116" s="1" t="s">
        <v>926</v>
      </c>
      <c r="L116" s="1"/>
      <c r="M116" s="1"/>
      <c r="N116" s="1" t="s">
        <v>395</v>
      </c>
      <c r="O116" s="1">
        <v>9</v>
      </c>
      <c r="P116" s="1" t="s">
        <v>498</v>
      </c>
      <c r="Q116" s="1" t="s">
        <v>160</v>
      </c>
      <c r="R116" s="1" t="s">
        <v>370</v>
      </c>
      <c r="S116" s="1" t="s">
        <v>394</v>
      </c>
      <c r="T116" s="1" t="s">
        <v>33</v>
      </c>
      <c r="U116" s="1" t="s">
        <v>464</v>
      </c>
      <c r="V116" s="1" t="s">
        <v>924</v>
      </c>
      <c r="W116" s="1" t="s">
        <v>925</v>
      </c>
      <c r="X116" s="1" t="s">
        <v>926</v>
      </c>
      <c r="Y116" s="1"/>
    </row>
    <row r="117" spans="1:25" ht="28.5" hidden="1">
      <c r="A117" s="1" t="s">
        <v>989</v>
      </c>
      <c r="B117" s="1" t="s">
        <v>159</v>
      </c>
      <c r="C117" s="1" t="s">
        <v>448</v>
      </c>
      <c r="D117" s="1" t="s">
        <v>27</v>
      </c>
      <c r="E117" s="1" t="s">
        <v>449</v>
      </c>
      <c r="F117" s="1" t="s">
        <v>498</v>
      </c>
      <c r="G117" s="1" t="s">
        <v>470</v>
      </c>
      <c r="H117" s="1" t="s">
        <v>928</v>
      </c>
      <c r="I117" s="1" t="s">
        <v>929</v>
      </c>
      <c r="J117" s="1" t="s">
        <v>930</v>
      </c>
      <c r="K117" s="1"/>
      <c r="L117" s="1"/>
      <c r="M117" s="1"/>
      <c r="N117" s="1" t="s">
        <v>395</v>
      </c>
      <c r="O117" s="1">
        <v>10</v>
      </c>
      <c r="P117" s="1" t="s">
        <v>498</v>
      </c>
      <c r="Q117" s="1" t="s">
        <v>160</v>
      </c>
      <c r="R117" s="1" t="s">
        <v>370</v>
      </c>
      <c r="S117" s="1" t="s">
        <v>394</v>
      </c>
      <c r="T117" s="1" t="s">
        <v>33</v>
      </c>
      <c r="U117" s="1" t="s">
        <v>470</v>
      </c>
      <c r="V117" s="1" t="s">
        <v>929</v>
      </c>
      <c r="W117" s="1" t="s">
        <v>930</v>
      </c>
      <c r="X117" s="1"/>
      <c r="Y117" s="1"/>
    </row>
    <row r="118" spans="1:25" ht="28.5" hidden="1">
      <c r="A118" s="1" t="s">
        <v>990</v>
      </c>
      <c r="B118" s="1" t="s">
        <v>159</v>
      </c>
      <c r="C118" s="1" t="s">
        <v>448</v>
      </c>
      <c r="D118" s="1" t="s">
        <v>27</v>
      </c>
      <c r="E118" s="1" t="s">
        <v>449</v>
      </c>
      <c r="F118" s="1" t="s">
        <v>498</v>
      </c>
      <c r="G118" s="1" t="s">
        <v>475</v>
      </c>
      <c r="H118" s="1" t="s">
        <v>956</v>
      </c>
      <c r="I118" s="1" t="s">
        <v>957</v>
      </c>
      <c r="J118" s="1" t="s">
        <v>958</v>
      </c>
      <c r="K118" s="1" t="s">
        <v>959</v>
      </c>
      <c r="L118" s="1"/>
      <c r="M118" s="1"/>
      <c r="N118" s="1" t="s">
        <v>395</v>
      </c>
      <c r="O118" s="1">
        <v>11</v>
      </c>
      <c r="P118" s="1" t="s">
        <v>498</v>
      </c>
      <c r="Q118" s="1" t="s">
        <v>160</v>
      </c>
      <c r="R118" s="1" t="s">
        <v>370</v>
      </c>
      <c r="S118" s="1" t="s">
        <v>394</v>
      </c>
      <c r="T118" s="1" t="s">
        <v>33</v>
      </c>
      <c r="U118" s="1" t="s">
        <v>475</v>
      </c>
      <c r="V118" s="1" t="s">
        <v>957</v>
      </c>
      <c r="W118" s="1" t="s">
        <v>958</v>
      </c>
      <c r="X118" s="1" t="s">
        <v>959</v>
      </c>
      <c r="Y118" s="1"/>
    </row>
    <row r="119" spans="1:25" ht="42.75" hidden="1">
      <c r="A119" s="1" t="s">
        <v>991</v>
      </c>
      <c r="B119" s="1" t="s">
        <v>159</v>
      </c>
      <c r="C119" s="1" t="s">
        <v>448</v>
      </c>
      <c r="D119" s="1" t="s">
        <v>27</v>
      </c>
      <c r="E119" s="1" t="s">
        <v>449</v>
      </c>
      <c r="F119" s="1" t="s">
        <v>498</v>
      </c>
      <c r="G119" s="1" t="s">
        <v>481</v>
      </c>
      <c r="H119" s="1" t="s">
        <v>937</v>
      </c>
      <c r="I119" s="1" t="s">
        <v>938</v>
      </c>
      <c r="J119" s="1" t="s">
        <v>939</v>
      </c>
      <c r="K119" s="1" t="s">
        <v>940</v>
      </c>
      <c r="L119" s="1"/>
      <c r="M119" s="1"/>
      <c r="N119" s="1" t="s">
        <v>395</v>
      </c>
      <c r="O119" s="1">
        <v>12</v>
      </c>
      <c r="P119" s="1" t="s">
        <v>498</v>
      </c>
      <c r="Q119" s="1" t="s">
        <v>160</v>
      </c>
      <c r="R119" s="1" t="s">
        <v>370</v>
      </c>
      <c r="S119" s="1" t="s">
        <v>394</v>
      </c>
      <c r="T119" s="1" t="s">
        <v>33</v>
      </c>
      <c r="U119" s="1" t="s">
        <v>481</v>
      </c>
      <c r="V119" s="1" t="s">
        <v>938</v>
      </c>
      <c r="W119" s="1" t="s">
        <v>939</v>
      </c>
      <c r="X119" s="1" t="s">
        <v>940</v>
      </c>
      <c r="Y119" s="1"/>
    </row>
    <row r="120" spans="1:25" ht="28.5" hidden="1">
      <c r="A120" s="1" t="s">
        <v>992</v>
      </c>
      <c r="B120" s="1" t="s">
        <v>159</v>
      </c>
      <c r="C120" s="1" t="s">
        <v>448</v>
      </c>
      <c r="D120" s="1" t="s">
        <v>27</v>
      </c>
      <c r="E120" s="1" t="s">
        <v>449</v>
      </c>
      <c r="F120" s="1" t="s">
        <v>498</v>
      </c>
      <c r="G120" s="1" t="s">
        <v>641</v>
      </c>
      <c r="H120" s="1" t="s">
        <v>942</v>
      </c>
      <c r="I120" s="1" t="s">
        <v>943</v>
      </c>
      <c r="J120" s="1" t="s">
        <v>944</v>
      </c>
      <c r="K120" s="1" t="s">
        <v>945</v>
      </c>
      <c r="L120" s="1"/>
      <c r="M120" s="1"/>
      <c r="N120" s="1" t="s">
        <v>395</v>
      </c>
      <c r="O120" s="1">
        <v>13</v>
      </c>
      <c r="P120" s="1" t="s">
        <v>498</v>
      </c>
      <c r="Q120" s="1" t="s">
        <v>160</v>
      </c>
      <c r="R120" s="1" t="s">
        <v>370</v>
      </c>
      <c r="S120" s="1" t="s">
        <v>394</v>
      </c>
      <c r="T120" s="1" t="s">
        <v>33</v>
      </c>
      <c r="U120" s="1" t="s">
        <v>641</v>
      </c>
      <c r="V120" s="1" t="s">
        <v>943</v>
      </c>
      <c r="W120" s="1" t="s">
        <v>944</v>
      </c>
      <c r="X120" s="1" t="s">
        <v>945</v>
      </c>
      <c r="Y120" s="1"/>
    </row>
    <row r="121" spans="1:25" ht="28.5" hidden="1">
      <c r="A121" s="1" t="s">
        <v>993</v>
      </c>
      <c r="B121" s="1" t="s">
        <v>159</v>
      </c>
      <c r="C121" s="1" t="s">
        <v>448</v>
      </c>
      <c r="D121" s="1" t="s">
        <v>27</v>
      </c>
      <c r="E121" s="1" t="s">
        <v>449</v>
      </c>
      <c r="F121" s="1" t="s">
        <v>498</v>
      </c>
      <c r="G121" s="1" t="s">
        <v>645</v>
      </c>
      <c r="H121" s="1" t="s">
        <v>947</v>
      </c>
      <c r="I121" s="1" t="s">
        <v>948</v>
      </c>
      <c r="J121" s="1" t="s">
        <v>949</v>
      </c>
      <c r="K121" s="1" t="s">
        <v>950</v>
      </c>
      <c r="L121" s="1"/>
      <c r="M121" s="1"/>
      <c r="N121" s="1" t="s">
        <v>395</v>
      </c>
      <c r="O121" s="1">
        <v>14</v>
      </c>
      <c r="P121" s="1" t="s">
        <v>498</v>
      </c>
      <c r="Q121" s="1" t="s">
        <v>160</v>
      </c>
      <c r="R121" s="1" t="s">
        <v>370</v>
      </c>
      <c r="S121" s="1" t="s">
        <v>394</v>
      </c>
      <c r="T121" s="1" t="s">
        <v>33</v>
      </c>
      <c r="U121" s="1" t="s">
        <v>645</v>
      </c>
      <c r="V121" s="1" t="s">
        <v>948</v>
      </c>
      <c r="W121" s="1" t="s">
        <v>949</v>
      </c>
      <c r="X121" s="1" t="s">
        <v>950</v>
      </c>
      <c r="Y121" s="1"/>
    </row>
    <row r="122" spans="1:25" ht="28.5" hidden="1">
      <c r="A122" s="1" t="s">
        <v>994</v>
      </c>
      <c r="B122" s="1" t="s">
        <v>205</v>
      </c>
      <c r="C122" s="1" t="s">
        <v>448</v>
      </c>
      <c r="D122" s="1" t="s">
        <v>27</v>
      </c>
      <c r="E122" s="1" t="s">
        <v>449</v>
      </c>
      <c r="F122" s="1" t="s">
        <v>450</v>
      </c>
      <c r="G122" s="1" t="s">
        <v>529</v>
      </c>
      <c r="H122" s="1" t="s">
        <v>952</v>
      </c>
      <c r="I122" s="1" t="s">
        <v>953</v>
      </c>
      <c r="J122" s="1" t="s">
        <v>905</v>
      </c>
      <c r="K122" s="1" t="s">
        <v>954</v>
      </c>
      <c r="L122" s="1"/>
      <c r="M122" s="1"/>
      <c r="N122" s="1" t="s">
        <v>399</v>
      </c>
      <c r="O122" s="1">
        <v>7</v>
      </c>
      <c r="P122" s="1" t="s">
        <v>450</v>
      </c>
      <c r="Q122" s="1" t="s">
        <v>160</v>
      </c>
      <c r="R122" s="1" t="s">
        <v>370</v>
      </c>
      <c r="S122" s="1" t="s">
        <v>394</v>
      </c>
      <c r="T122" s="1" t="s">
        <v>33</v>
      </c>
      <c r="U122" s="1" t="s">
        <v>529</v>
      </c>
      <c r="V122" s="1" t="s">
        <v>953</v>
      </c>
      <c r="W122" s="1" t="s">
        <v>905</v>
      </c>
      <c r="X122" s="1" t="s">
        <v>954</v>
      </c>
      <c r="Y122" s="1"/>
    </row>
    <row r="123" spans="1:25" hidden="1">
      <c r="A123" s="1" t="s">
        <v>995</v>
      </c>
      <c r="B123" s="1" t="s">
        <v>205</v>
      </c>
      <c r="C123" s="1" t="s">
        <v>448</v>
      </c>
      <c r="D123" s="1" t="s">
        <v>27</v>
      </c>
      <c r="E123" s="1" t="s">
        <v>449</v>
      </c>
      <c r="F123" s="1" t="s">
        <v>450</v>
      </c>
      <c r="G123" s="1" t="s">
        <v>535</v>
      </c>
      <c r="H123" s="1" t="s">
        <v>932</v>
      </c>
      <c r="I123" s="1" t="s">
        <v>933</v>
      </c>
      <c r="J123" s="1" t="s">
        <v>934</v>
      </c>
      <c r="K123" s="1" t="s">
        <v>935</v>
      </c>
      <c r="L123" s="1"/>
      <c r="M123" s="1"/>
      <c r="N123" s="1" t="s">
        <v>399</v>
      </c>
      <c r="O123" s="1">
        <v>8</v>
      </c>
      <c r="P123" s="1" t="s">
        <v>450</v>
      </c>
      <c r="Q123" s="1" t="s">
        <v>160</v>
      </c>
      <c r="R123" s="1" t="s">
        <v>370</v>
      </c>
      <c r="S123" s="1" t="s">
        <v>394</v>
      </c>
      <c r="T123" s="1" t="s">
        <v>33</v>
      </c>
      <c r="U123" s="1" t="s">
        <v>535</v>
      </c>
      <c r="V123" s="1" t="s">
        <v>933</v>
      </c>
      <c r="W123" s="1" t="s">
        <v>934</v>
      </c>
      <c r="X123" s="1" t="s">
        <v>935</v>
      </c>
      <c r="Y123" s="1"/>
    </row>
    <row r="124" spans="1:25" ht="28.5" hidden="1">
      <c r="A124" s="1" t="s">
        <v>996</v>
      </c>
      <c r="B124" s="1" t="s">
        <v>129</v>
      </c>
      <c r="C124" s="1" t="s">
        <v>448</v>
      </c>
      <c r="D124" s="1" t="s">
        <v>27</v>
      </c>
      <c r="E124" s="1" t="s">
        <v>449</v>
      </c>
      <c r="F124" s="1" t="s">
        <v>498</v>
      </c>
      <c r="G124" s="1" t="s">
        <v>701</v>
      </c>
      <c r="H124" s="1" t="s">
        <v>997</v>
      </c>
      <c r="I124" s="1" t="s">
        <v>998</v>
      </c>
      <c r="J124" s="1" t="s">
        <v>999</v>
      </c>
      <c r="K124" s="1" t="s">
        <v>1000</v>
      </c>
      <c r="L124" s="1"/>
      <c r="M124" s="1"/>
      <c r="N124" s="1" t="s">
        <v>383</v>
      </c>
      <c r="O124" s="1">
        <v>7</v>
      </c>
      <c r="P124" s="1" t="s">
        <v>498</v>
      </c>
      <c r="Q124" s="1" t="s">
        <v>130</v>
      </c>
      <c r="R124" s="1" t="s">
        <v>370</v>
      </c>
      <c r="S124" s="1" t="s">
        <v>382</v>
      </c>
      <c r="T124" s="1" t="s">
        <v>23</v>
      </c>
      <c r="U124" s="1" t="s">
        <v>701</v>
      </c>
      <c r="V124" s="1" t="s">
        <v>998</v>
      </c>
      <c r="W124" s="1" t="s">
        <v>999</v>
      </c>
      <c r="X124" s="1" t="s">
        <v>1000</v>
      </c>
      <c r="Y124" s="1"/>
    </row>
    <row r="125" spans="1:25" ht="28.5" hidden="1">
      <c r="A125" s="1" t="s">
        <v>1001</v>
      </c>
      <c r="B125" s="1" t="s">
        <v>129</v>
      </c>
      <c r="C125" s="1" t="s">
        <v>448</v>
      </c>
      <c r="D125" s="1" t="s">
        <v>27</v>
      </c>
      <c r="E125" s="1" t="s">
        <v>449</v>
      </c>
      <c r="F125" s="1" t="s">
        <v>498</v>
      </c>
      <c r="G125" s="1" t="s">
        <v>707</v>
      </c>
      <c r="H125" s="1" t="s">
        <v>1002</v>
      </c>
      <c r="I125" s="1" t="s">
        <v>1003</v>
      </c>
      <c r="J125" s="1" t="s">
        <v>1004</v>
      </c>
      <c r="K125" s="1"/>
      <c r="L125" s="1"/>
      <c r="M125" s="1"/>
      <c r="N125" s="1" t="s">
        <v>383</v>
      </c>
      <c r="O125" s="1">
        <v>8</v>
      </c>
      <c r="P125" s="1" t="s">
        <v>498</v>
      </c>
      <c r="Q125" s="1" t="s">
        <v>130</v>
      </c>
      <c r="R125" s="1" t="s">
        <v>370</v>
      </c>
      <c r="S125" s="1" t="s">
        <v>382</v>
      </c>
      <c r="T125" s="1" t="s">
        <v>23</v>
      </c>
      <c r="U125" s="1" t="s">
        <v>707</v>
      </c>
      <c r="V125" s="1" t="s">
        <v>1003</v>
      </c>
      <c r="W125" s="1" t="s">
        <v>1004</v>
      </c>
      <c r="X125" s="1"/>
      <c r="Y125" s="1"/>
    </row>
    <row r="126" spans="1:25" ht="42.75" hidden="1">
      <c r="A126" s="1" t="s">
        <v>1005</v>
      </c>
      <c r="B126" s="1" t="s">
        <v>129</v>
      </c>
      <c r="C126" s="1" t="s">
        <v>448</v>
      </c>
      <c r="D126" s="1" t="s">
        <v>27</v>
      </c>
      <c r="E126" s="1" t="s">
        <v>449</v>
      </c>
      <c r="F126" s="1" t="s">
        <v>498</v>
      </c>
      <c r="G126" s="1" t="s">
        <v>713</v>
      </c>
      <c r="H126" s="1" t="s">
        <v>1006</v>
      </c>
      <c r="I126" s="1" t="s">
        <v>1007</v>
      </c>
      <c r="J126" s="1" t="s">
        <v>1008</v>
      </c>
      <c r="K126" s="1" t="s">
        <v>1009</v>
      </c>
      <c r="L126" s="1"/>
      <c r="M126" s="1"/>
      <c r="N126" s="1" t="s">
        <v>383</v>
      </c>
      <c r="O126" s="1">
        <v>9</v>
      </c>
      <c r="P126" s="1" t="s">
        <v>498</v>
      </c>
      <c r="Q126" s="1" t="s">
        <v>130</v>
      </c>
      <c r="R126" s="1" t="s">
        <v>370</v>
      </c>
      <c r="S126" s="1" t="s">
        <v>382</v>
      </c>
      <c r="T126" s="1" t="s">
        <v>23</v>
      </c>
      <c r="U126" s="1" t="s">
        <v>713</v>
      </c>
      <c r="V126" s="1" t="s">
        <v>1007</v>
      </c>
      <c r="W126" s="1" t="s">
        <v>1008</v>
      </c>
      <c r="X126" s="1" t="s">
        <v>1009</v>
      </c>
      <c r="Y126" s="1"/>
    </row>
    <row r="127" spans="1:25" ht="42.75" hidden="1">
      <c r="A127" s="1" t="s">
        <v>1010</v>
      </c>
      <c r="B127" s="1" t="s">
        <v>129</v>
      </c>
      <c r="C127" s="1" t="s">
        <v>448</v>
      </c>
      <c r="D127" s="1" t="s">
        <v>27</v>
      </c>
      <c r="E127" s="1" t="s">
        <v>449</v>
      </c>
      <c r="F127" s="1" t="s">
        <v>498</v>
      </c>
      <c r="G127" s="1" t="s">
        <v>719</v>
      </c>
      <c r="H127" s="1" t="s">
        <v>1011</v>
      </c>
      <c r="I127" s="1" t="s">
        <v>1012</v>
      </c>
      <c r="J127" s="1" t="s">
        <v>1013</v>
      </c>
      <c r="K127" s="1" t="s">
        <v>1014</v>
      </c>
      <c r="L127" s="1"/>
      <c r="M127" s="1"/>
      <c r="N127" s="1" t="s">
        <v>383</v>
      </c>
      <c r="O127" s="1">
        <v>10</v>
      </c>
      <c r="P127" s="1" t="s">
        <v>498</v>
      </c>
      <c r="Q127" s="1" t="s">
        <v>130</v>
      </c>
      <c r="R127" s="1" t="s">
        <v>370</v>
      </c>
      <c r="S127" s="1" t="s">
        <v>382</v>
      </c>
      <c r="T127" s="1" t="s">
        <v>23</v>
      </c>
      <c r="U127" s="1" t="s">
        <v>719</v>
      </c>
      <c r="V127" s="1" t="s">
        <v>1012</v>
      </c>
      <c r="W127" s="1" t="s">
        <v>1013</v>
      </c>
      <c r="X127" s="1" t="s">
        <v>1014</v>
      </c>
      <c r="Y127" s="1"/>
    </row>
    <row r="128" spans="1:25" ht="42.75" hidden="1">
      <c r="A128" s="1" t="s">
        <v>1015</v>
      </c>
      <c r="B128" s="1" t="s">
        <v>129</v>
      </c>
      <c r="C128" s="1" t="s">
        <v>448</v>
      </c>
      <c r="D128" s="1" t="s">
        <v>27</v>
      </c>
      <c r="E128" s="1" t="s">
        <v>449</v>
      </c>
      <c r="F128" s="1" t="s">
        <v>498</v>
      </c>
      <c r="G128" s="1" t="s">
        <v>811</v>
      </c>
      <c r="H128" s="1" t="s">
        <v>1016</v>
      </c>
      <c r="I128" s="1" t="s">
        <v>1017</v>
      </c>
      <c r="J128" s="1" t="s">
        <v>1018</v>
      </c>
      <c r="K128" s="1" t="s">
        <v>1019</v>
      </c>
      <c r="L128" s="1"/>
      <c r="M128" s="1"/>
      <c r="N128" s="1" t="s">
        <v>383</v>
      </c>
      <c r="O128" s="1">
        <v>11</v>
      </c>
      <c r="P128" s="1" t="s">
        <v>498</v>
      </c>
      <c r="Q128" s="1" t="s">
        <v>130</v>
      </c>
      <c r="R128" s="1" t="s">
        <v>370</v>
      </c>
      <c r="S128" s="1" t="s">
        <v>382</v>
      </c>
      <c r="T128" s="1" t="s">
        <v>23</v>
      </c>
      <c r="U128" s="1" t="s">
        <v>811</v>
      </c>
      <c r="V128" s="1" t="s">
        <v>1017</v>
      </c>
      <c r="W128" s="1" t="s">
        <v>1018</v>
      </c>
      <c r="X128" s="1" t="s">
        <v>1019</v>
      </c>
      <c r="Y128" s="1"/>
    </row>
    <row r="129" spans="1:25" hidden="1">
      <c r="A129" s="1" t="s">
        <v>1020</v>
      </c>
      <c r="B129" s="1" t="s">
        <v>129</v>
      </c>
      <c r="C129" s="1" t="s">
        <v>448</v>
      </c>
      <c r="D129" s="1" t="s">
        <v>27</v>
      </c>
      <c r="E129" s="1" t="s">
        <v>449</v>
      </c>
      <c r="F129" s="1" t="s">
        <v>498</v>
      </c>
      <c r="G129" s="1" t="s">
        <v>827</v>
      </c>
      <c r="H129" s="1" t="s">
        <v>1021</v>
      </c>
      <c r="I129" s="1" t="s">
        <v>1022</v>
      </c>
      <c r="J129" s="1" t="s">
        <v>745</v>
      </c>
      <c r="K129" s="1"/>
      <c r="L129" s="1"/>
      <c r="M129" s="1"/>
      <c r="N129" s="1" t="s">
        <v>383</v>
      </c>
      <c r="O129" s="1">
        <v>12</v>
      </c>
      <c r="P129" s="1" t="s">
        <v>498</v>
      </c>
      <c r="Q129" s="1" t="s">
        <v>130</v>
      </c>
      <c r="R129" s="1" t="s">
        <v>370</v>
      </c>
      <c r="S129" s="1" t="s">
        <v>382</v>
      </c>
      <c r="T129" s="1" t="s">
        <v>23</v>
      </c>
      <c r="U129" s="1" t="s">
        <v>827</v>
      </c>
      <c r="V129" s="1" t="s">
        <v>1022</v>
      </c>
      <c r="W129" s="1" t="s">
        <v>745</v>
      </c>
      <c r="X129" s="1"/>
      <c r="Y129" s="1"/>
    </row>
    <row r="130" spans="1:25" ht="28.5" hidden="1">
      <c r="A130" s="1" t="s">
        <v>1023</v>
      </c>
      <c r="B130" s="1" t="s">
        <v>129</v>
      </c>
      <c r="C130" s="1" t="s">
        <v>448</v>
      </c>
      <c r="D130" s="1" t="s">
        <v>27</v>
      </c>
      <c r="E130" s="1" t="s">
        <v>449</v>
      </c>
      <c r="F130" s="1" t="s">
        <v>498</v>
      </c>
      <c r="G130" s="1" t="s">
        <v>833</v>
      </c>
      <c r="H130" s="1" t="s">
        <v>1024</v>
      </c>
      <c r="I130" s="1" t="s">
        <v>1025</v>
      </c>
      <c r="J130" s="1" t="s">
        <v>1026</v>
      </c>
      <c r="K130" s="1" t="s">
        <v>1027</v>
      </c>
      <c r="L130" s="1"/>
      <c r="M130" s="1"/>
      <c r="N130" s="1" t="s">
        <v>383</v>
      </c>
      <c r="O130" s="1">
        <v>13</v>
      </c>
      <c r="P130" s="1" t="s">
        <v>498</v>
      </c>
      <c r="Q130" s="1" t="s">
        <v>130</v>
      </c>
      <c r="R130" s="1" t="s">
        <v>370</v>
      </c>
      <c r="S130" s="1" t="s">
        <v>382</v>
      </c>
      <c r="T130" s="1" t="s">
        <v>23</v>
      </c>
      <c r="U130" s="1" t="s">
        <v>833</v>
      </c>
      <c r="V130" s="1" t="s">
        <v>1025</v>
      </c>
      <c r="W130" s="1" t="s">
        <v>1026</v>
      </c>
      <c r="X130" s="1" t="s">
        <v>1027</v>
      </c>
      <c r="Y130" s="1"/>
    </row>
    <row r="131" spans="1:25" ht="28.5" hidden="1">
      <c r="A131" s="1" t="s">
        <v>1028</v>
      </c>
      <c r="B131" s="1"/>
      <c r="C131" s="1" t="s">
        <v>487</v>
      </c>
      <c r="D131" s="1" t="s">
        <v>27</v>
      </c>
      <c r="E131" s="1" t="s">
        <v>449</v>
      </c>
      <c r="F131" s="1" t="s">
        <v>488</v>
      </c>
      <c r="G131" s="1"/>
      <c r="H131" s="1" t="s">
        <v>1029</v>
      </c>
      <c r="I131" s="1" t="s">
        <v>1030</v>
      </c>
      <c r="J131" s="1" t="s">
        <v>1031</v>
      </c>
      <c r="K131" s="1" t="s">
        <v>1032</v>
      </c>
      <c r="L131" s="1"/>
      <c r="M131" s="1"/>
      <c r="N131" s="1" t="s">
        <v>383</v>
      </c>
      <c r="O131" s="1">
        <v>18</v>
      </c>
      <c r="P131" s="1" t="s">
        <v>498</v>
      </c>
      <c r="Q131" s="1" t="s">
        <v>130</v>
      </c>
      <c r="R131" s="1" t="s">
        <v>370</v>
      </c>
      <c r="S131" s="1" t="s">
        <v>382</v>
      </c>
      <c r="T131" s="1" t="s">
        <v>23</v>
      </c>
      <c r="U131" s="1"/>
      <c r="V131" s="1" t="s">
        <v>1030</v>
      </c>
      <c r="W131" s="1" t="s">
        <v>1031</v>
      </c>
      <c r="X131" s="1" t="s">
        <v>1032</v>
      </c>
      <c r="Y131" s="1"/>
    </row>
    <row r="132" spans="1:25" ht="28.5" hidden="1">
      <c r="A132" s="1" t="s">
        <v>1033</v>
      </c>
      <c r="B132" s="1" t="s">
        <v>192</v>
      </c>
      <c r="C132" s="1" t="s">
        <v>448</v>
      </c>
      <c r="D132" s="1" t="s">
        <v>27</v>
      </c>
      <c r="E132" s="1" t="s">
        <v>449</v>
      </c>
      <c r="F132" s="1" t="s">
        <v>450</v>
      </c>
      <c r="G132" s="1" t="s">
        <v>529</v>
      </c>
      <c r="H132" s="1" t="s">
        <v>1034</v>
      </c>
      <c r="I132" s="1" t="s">
        <v>1035</v>
      </c>
      <c r="J132" s="1" t="s">
        <v>1036</v>
      </c>
      <c r="K132" s="1"/>
      <c r="L132" s="1"/>
      <c r="M132" s="1"/>
      <c r="N132" s="1" t="s">
        <v>397</v>
      </c>
      <c r="O132" s="1">
        <v>7</v>
      </c>
      <c r="P132" s="1" t="s">
        <v>450</v>
      </c>
      <c r="Q132" s="1" t="s">
        <v>193</v>
      </c>
      <c r="R132" s="1" t="s">
        <v>370</v>
      </c>
      <c r="S132" s="1" t="s">
        <v>396</v>
      </c>
      <c r="T132" s="1" t="s">
        <v>49</v>
      </c>
      <c r="U132" s="1" t="s">
        <v>529</v>
      </c>
      <c r="V132" s="1" t="s">
        <v>1035</v>
      </c>
      <c r="W132" s="1" t="s">
        <v>1036</v>
      </c>
      <c r="X132" s="1"/>
      <c r="Y132" s="1"/>
    </row>
    <row r="133" spans="1:25" ht="28.5" hidden="1">
      <c r="A133" s="1" t="s">
        <v>1037</v>
      </c>
      <c r="B133" s="1" t="s">
        <v>192</v>
      </c>
      <c r="C133" s="1" t="s">
        <v>448</v>
      </c>
      <c r="D133" s="1" t="s">
        <v>27</v>
      </c>
      <c r="E133" s="1" t="s">
        <v>449</v>
      </c>
      <c r="F133" s="1" t="s">
        <v>450</v>
      </c>
      <c r="G133" s="1" t="s">
        <v>535</v>
      </c>
      <c r="H133" s="1" t="s">
        <v>1038</v>
      </c>
      <c r="I133" s="1" t="s">
        <v>1039</v>
      </c>
      <c r="J133" s="1" t="s">
        <v>1040</v>
      </c>
      <c r="K133" s="1"/>
      <c r="L133" s="1"/>
      <c r="M133" s="1"/>
      <c r="N133" s="1" t="s">
        <v>397</v>
      </c>
      <c r="O133" s="1">
        <v>8</v>
      </c>
      <c r="P133" s="1" t="s">
        <v>450</v>
      </c>
      <c r="Q133" s="1" t="s">
        <v>193</v>
      </c>
      <c r="R133" s="1" t="s">
        <v>370</v>
      </c>
      <c r="S133" s="1" t="s">
        <v>396</v>
      </c>
      <c r="T133" s="1" t="s">
        <v>49</v>
      </c>
      <c r="U133" s="1" t="s">
        <v>535</v>
      </c>
      <c r="V133" s="1" t="s">
        <v>1039</v>
      </c>
      <c r="W133" s="1" t="s">
        <v>1040</v>
      </c>
      <c r="X133" s="1"/>
      <c r="Y133" s="1"/>
    </row>
    <row r="134" spans="1:25" ht="28.5" hidden="1">
      <c r="A134" s="1" t="s">
        <v>1041</v>
      </c>
      <c r="B134" s="1" t="s">
        <v>192</v>
      </c>
      <c r="C134" s="1" t="s">
        <v>448</v>
      </c>
      <c r="D134" s="1" t="s">
        <v>27</v>
      </c>
      <c r="E134" s="1" t="s">
        <v>449</v>
      </c>
      <c r="F134" s="1" t="s">
        <v>450</v>
      </c>
      <c r="G134" s="1" t="s">
        <v>541</v>
      </c>
      <c r="H134" s="1" t="s">
        <v>1042</v>
      </c>
      <c r="I134" s="1" t="s">
        <v>1043</v>
      </c>
      <c r="J134" s="1" t="s">
        <v>1044</v>
      </c>
      <c r="K134" s="1"/>
      <c r="L134" s="1"/>
      <c r="M134" s="1"/>
      <c r="N134" s="1" t="s">
        <v>397</v>
      </c>
      <c r="O134" s="1">
        <v>9</v>
      </c>
      <c r="P134" s="1" t="s">
        <v>450</v>
      </c>
      <c r="Q134" s="1" t="s">
        <v>193</v>
      </c>
      <c r="R134" s="1" t="s">
        <v>370</v>
      </c>
      <c r="S134" s="1" t="s">
        <v>396</v>
      </c>
      <c r="T134" s="1" t="s">
        <v>49</v>
      </c>
      <c r="U134" s="1" t="s">
        <v>541</v>
      </c>
      <c r="V134" s="1" t="s">
        <v>1043</v>
      </c>
      <c r="W134" s="1" t="s">
        <v>1044</v>
      </c>
      <c r="X134" s="1"/>
      <c r="Y134" s="1"/>
    </row>
    <row r="135" spans="1:25" ht="28.5" hidden="1">
      <c r="A135" s="1" t="s">
        <v>1045</v>
      </c>
      <c r="B135" s="1" t="s">
        <v>192</v>
      </c>
      <c r="C135" s="1" t="s">
        <v>448</v>
      </c>
      <c r="D135" s="1" t="s">
        <v>27</v>
      </c>
      <c r="E135" s="1" t="s">
        <v>449</v>
      </c>
      <c r="F135" s="1" t="s">
        <v>450</v>
      </c>
      <c r="G135" s="1" t="s">
        <v>547</v>
      </c>
      <c r="H135" s="1" t="s">
        <v>1046</v>
      </c>
      <c r="I135" s="1" t="s">
        <v>1047</v>
      </c>
      <c r="J135" s="1" t="s">
        <v>1048</v>
      </c>
      <c r="K135" s="1" t="s">
        <v>1049</v>
      </c>
      <c r="L135" s="1"/>
      <c r="M135" s="1"/>
      <c r="N135" s="1" t="s">
        <v>397</v>
      </c>
      <c r="O135" s="1">
        <v>10</v>
      </c>
      <c r="P135" s="1" t="s">
        <v>450</v>
      </c>
      <c r="Q135" s="1" t="s">
        <v>193</v>
      </c>
      <c r="R135" s="1" t="s">
        <v>370</v>
      </c>
      <c r="S135" s="1" t="s">
        <v>396</v>
      </c>
      <c r="T135" s="1" t="s">
        <v>49</v>
      </c>
      <c r="U135" s="1" t="s">
        <v>547</v>
      </c>
      <c r="V135" s="1" t="s">
        <v>1047</v>
      </c>
      <c r="W135" s="1" t="s">
        <v>1048</v>
      </c>
      <c r="X135" s="1" t="s">
        <v>1049</v>
      </c>
      <c r="Y135" s="1"/>
    </row>
    <row r="136" spans="1:25" ht="28.5" hidden="1">
      <c r="A136" s="1" t="s">
        <v>1050</v>
      </c>
      <c r="B136" s="1" t="s">
        <v>192</v>
      </c>
      <c r="C136" s="1" t="s">
        <v>448</v>
      </c>
      <c r="D136" s="1" t="s">
        <v>27</v>
      </c>
      <c r="E136" s="1" t="s">
        <v>449</v>
      </c>
      <c r="F136" s="1" t="s">
        <v>450</v>
      </c>
      <c r="G136" s="1" t="s">
        <v>553</v>
      </c>
      <c r="H136" s="1" t="s">
        <v>1051</v>
      </c>
      <c r="I136" s="1" t="s">
        <v>1052</v>
      </c>
      <c r="J136" s="1" t="s">
        <v>1053</v>
      </c>
      <c r="K136" s="1" t="s">
        <v>1054</v>
      </c>
      <c r="L136" s="1"/>
      <c r="M136" s="1"/>
      <c r="N136" s="1" t="s">
        <v>397</v>
      </c>
      <c r="O136" s="1">
        <v>11</v>
      </c>
      <c r="P136" s="1" t="s">
        <v>450</v>
      </c>
      <c r="Q136" s="1" t="s">
        <v>193</v>
      </c>
      <c r="R136" s="1" t="s">
        <v>370</v>
      </c>
      <c r="S136" s="1" t="s">
        <v>396</v>
      </c>
      <c r="T136" s="1" t="s">
        <v>49</v>
      </c>
      <c r="U136" s="1" t="s">
        <v>553</v>
      </c>
      <c r="V136" s="1" t="s">
        <v>1052</v>
      </c>
      <c r="W136" s="1" t="s">
        <v>1053</v>
      </c>
      <c r="X136" s="1" t="s">
        <v>1054</v>
      </c>
      <c r="Y136" s="1"/>
    </row>
    <row r="137" spans="1:25" ht="28.5" hidden="1">
      <c r="A137" s="1" t="s">
        <v>1055</v>
      </c>
      <c r="B137" s="1" t="s">
        <v>192</v>
      </c>
      <c r="C137" s="1" t="s">
        <v>448</v>
      </c>
      <c r="D137" s="1" t="s">
        <v>27</v>
      </c>
      <c r="E137" s="1" t="s">
        <v>449</v>
      </c>
      <c r="F137" s="1" t="s">
        <v>450</v>
      </c>
      <c r="G137" s="1" t="s">
        <v>559</v>
      </c>
      <c r="H137" s="1" t="s">
        <v>1056</v>
      </c>
      <c r="I137" s="1" t="s">
        <v>1057</v>
      </c>
      <c r="J137" s="1"/>
      <c r="K137" s="1" t="s">
        <v>1058</v>
      </c>
      <c r="L137" s="1"/>
      <c r="M137" s="1"/>
      <c r="N137" s="1" t="s">
        <v>397</v>
      </c>
      <c r="O137" s="1">
        <v>12</v>
      </c>
      <c r="P137" s="1" t="s">
        <v>450</v>
      </c>
      <c r="Q137" s="1" t="s">
        <v>193</v>
      </c>
      <c r="R137" s="1" t="s">
        <v>370</v>
      </c>
      <c r="S137" s="1" t="s">
        <v>396</v>
      </c>
      <c r="T137" s="1" t="s">
        <v>49</v>
      </c>
      <c r="U137" s="1" t="s">
        <v>559</v>
      </c>
      <c r="V137" s="1" t="s">
        <v>1057</v>
      </c>
      <c r="W137" s="1"/>
      <c r="X137" s="1" t="s">
        <v>1058</v>
      </c>
      <c r="Y137" s="1"/>
    </row>
    <row r="138" spans="1:25" ht="28.5" hidden="1">
      <c r="A138" s="1" t="s">
        <v>1059</v>
      </c>
      <c r="B138" s="1" t="s">
        <v>192</v>
      </c>
      <c r="C138" s="1" t="s">
        <v>448</v>
      </c>
      <c r="D138" s="1" t="s">
        <v>27</v>
      </c>
      <c r="E138" s="1" t="s">
        <v>449</v>
      </c>
      <c r="F138" s="1" t="s">
        <v>450</v>
      </c>
      <c r="G138" s="1" t="s">
        <v>565</v>
      </c>
      <c r="H138" s="1" t="s">
        <v>1060</v>
      </c>
      <c r="I138" s="1" t="s">
        <v>1061</v>
      </c>
      <c r="J138" s="1" t="s">
        <v>1062</v>
      </c>
      <c r="K138" s="1" t="s">
        <v>1063</v>
      </c>
      <c r="L138" s="1"/>
      <c r="M138" s="1"/>
      <c r="N138" s="1" t="s">
        <v>397</v>
      </c>
      <c r="O138" s="1">
        <v>13</v>
      </c>
      <c r="P138" s="1" t="s">
        <v>450</v>
      </c>
      <c r="Q138" s="1" t="s">
        <v>193</v>
      </c>
      <c r="R138" s="1" t="s">
        <v>370</v>
      </c>
      <c r="S138" s="1" t="s">
        <v>396</v>
      </c>
      <c r="T138" s="1" t="s">
        <v>49</v>
      </c>
      <c r="U138" s="1" t="s">
        <v>565</v>
      </c>
      <c r="V138" s="1" t="s">
        <v>1061</v>
      </c>
      <c r="W138" s="1" t="s">
        <v>1062</v>
      </c>
      <c r="X138" s="1" t="s">
        <v>1063</v>
      </c>
      <c r="Y138" s="1"/>
    </row>
    <row r="139" spans="1:25" ht="42.75" hidden="1">
      <c r="A139" s="1" t="s">
        <v>1064</v>
      </c>
      <c r="B139" s="1" t="s">
        <v>192</v>
      </c>
      <c r="C139" s="1" t="s">
        <v>448</v>
      </c>
      <c r="D139" s="1" t="s">
        <v>27</v>
      </c>
      <c r="E139" s="1" t="s">
        <v>449</v>
      </c>
      <c r="F139" s="1" t="s">
        <v>450</v>
      </c>
      <c r="G139" s="1" t="s">
        <v>571</v>
      </c>
      <c r="H139" s="1" t="s">
        <v>1065</v>
      </c>
      <c r="I139" s="1" t="s">
        <v>1066</v>
      </c>
      <c r="J139" s="1" t="s">
        <v>1044</v>
      </c>
      <c r="K139" s="1" t="s">
        <v>1067</v>
      </c>
      <c r="L139" s="1"/>
      <c r="M139" s="1"/>
      <c r="N139" s="1" t="s">
        <v>397</v>
      </c>
      <c r="O139" s="1">
        <v>14</v>
      </c>
      <c r="P139" s="1" t="s">
        <v>450</v>
      </c>
      <c r="Q139" s="1" t="s">
        <v>193</v>
      </c>
      <c r="R139" s="1" t="s">
        <v>370</v>
      </c>
      <c r="S139" s="1" t="s">
        <v>396</v>
      </c>
      <c r="T139" s="1" t="s">
        <v>49</v>
      </c>
      <c r="U139" s="1" t="s">
        <v>571</v>
      </c>
      <c r="V139" s="1" t="s">
        <v>1066</v>
      </c>
      <c r="W139" s="1" t="s">
        <v>1044</v>
      </c>
      <c r="X139" s="1" t="s">
        <v>1067</v>
      </c>
      <c r="Y139" s="1"/>
    </row>
    <row r="140" spans="1:25" ht="57" hidden="1">
      <c r="A140" s="1" t="s">
        <v>1068</v>
      </c>
      <c r="B140" s="1" t="s">
        <v>215</v>
      </c>
      <c r="C140" s="1" t="s">
        <v>448</v>
      </c>
      <c r="D140" s="1" t="s">
        <v>27</v>
      </c>
      <c r="E140" s="1" t="s">
        <v>449</v>
      </c>
      <c r="F140" s="1" t="s">
        <v>450</v>
      </c>
      <c r="G140" s="1" t="s">
        <v>701</v>
      </c>
      <c r="H140" s="1" t="s">
        <v>1069</v>
      </c>
      <c r="I140" s="1" t="s">
        <v>1070</v>
      </c>
      <c r="J140" s="1" t="s">
        <v>1071</v>
      </c>
      <c r="K140" s="1" t="s">
        <v>1072</v>
      </c>
      <c r="L140" s="1"/>
      <c r="M140" s="1"/>
      <c r="N140" s="1" t="s">
        <v>397</v>
      </c>
      <c r="O140" s="1">
        <v>15</v>
      </c>
      <c r="P140" s="1" t="s">
        <v>450</v>
      </c>
      <c r="Q140" s="1" t="s">
        <v>193</v>
      </c>
      <c r="R140" s="1" t="s">
        <v>370</v>
      </c>
      <c r="S140" s="1" t="s">
        <v>396</v>
      </c>
      <c r="T140" s="1" t="s">
        <v>49</v>
      </c>
      <c r="U140" s="1" t="s">
        <v>701</v>
      </c>
      <c r="V140" s="1" t="s">
        <v>1070</v>
      </c>
      <c r="W140" s="1" t="s">
        <v>1071</v>
      </c>
      <c r="X140" s="1" t="s">
        <v>1072</v>
      </c>
      <c r="Y140" s="1"/>
    </row>
    <row r="141" spans="1:25" ht="28.5" hidden="1">
      <c r="A141" s="1" t="s">
        <v>1073</v>
      </c>
      <c r="B141" s="1" t="s">
        <v>215</v>
      </c>
      <c r="C141" s="1" t="s">
        <v>448</v>
      </c>
      <c r="D141" s="1" t="s">
        <v>27</v>
      </c>
      <c r="E141" s="1" t="s">
        <v>449</v>
      </c>
      <c r="F141" s="1" t="s">
        <v>450</v>
      </c>
      <c r="G141" s="1" t="s">
        <v>707</v>
      </c>
      <c r="H141" s="1" t="s">
        <v>1074</v>
      </c>
      <c r="I141" s="1" t="s">
        <v>1075</v>
      </c>
      <c r="J141" s="1" t="s">
        <v>1076</v>
      </c>
      <c r="K141" s="1" t="s">
        <v>1077</v>
      </c>
      <c r="L141" s="1"/>
      <c r="M141" s="1"/>
      <c r="N141" s="1" t="s">
        <v>397</v>
      </c>
      <c r="O141" s="1">
        <v>16</v>
      </c>
      <c r="P141" s="1" t="s">
        <v>450</v>
      </c>
      <c r="Q141" s="1" t="s">
        <v>193</v>
      </c>
      <c r="R141" s="1" t="s">
        <v>370</v>
      </c>
      <c r="S141" s="1" t="s">
        <v>396</v>
      </c>
      <c r="T141" s="1" t="s">
        <v>49</v>
      </c>
      <c r="U141" s="1" t="s">
        <v>707</v>
      </c>
      <c r="V141" s="1" t="s">
        <v>1075</v>
      </c>
      <c r="W141" s="1" t="s">
        <v>1076</v>
      </c>
      <c r="X141" s="1" t="s">
        <v>1077</v>
      </c>
      <c r="Y141" s="1"/>
    </row>
    <row r="142" spans="1:25" ht="71.25" hidden="1">
      <c r="A142" s="1" t="s">
        <v>1078</v>
      </c>
      <c r="B142" s="1" t="s">
        <v>215</v>
      </c>
      <c r="C142" s="1" t="s">
        <v>448</v>
      </c>
      <c r="D142" s="1" t="s">
        <v>27</v>
      </c>
      <c r="E142" s="1" t="s">
        <v>449</v>
      </c>
      <c r="F142" s="1" t="s">
        <v>450</v>
      </c>
      <c r="G142" s="1" t="s">
        <v>713</v>
      </c>
      <c r="H142" s="1" t="s">
        <v>1079</v>
      </c>
      <c r="I142" s="1" t="s">
        <v>1080</v>
      </c>
      <c r="J142" s="1" t="s">
        <v>1081</v>
      </c>
      <c r="K142" s="1" t="s">
        <v>1082</v>
      </c>
      <c r="L142" s="1"/>
      <c r="M142" s="1"/>
      <c r="N142" s="1" t="s">
        <v>397</v>
      </c>
      <c r="O142" s="1">
        <v>17</v>
      </c>
      <c r="P142" s="1" t="s">
        <v>450</v>
      </c>
      <c r="Q142" s="1" t="s">
        <v>193</v>
      </c>
      <c r="R142" s="1" t="s">
        <v>370</v>
      </c>
      <c r="S142" s="1" t="s">
        <v>396</v>
      </c>
      <c r="T142" s="1" t="s">
        <v>49</v>
      </c>
      <c r="U142" s="1" t="s">
        <v>713</v>
      </c>
      <c r="V142" s="1" t="s">
        <v>1080</v>
      </c>
      <c r="W142" s="1" t="s">
        <v>1081</v>
      </c>
      <c r="X142" s="1" t="s">
        <v>1082</v>
      </c>
      <c r="Y142" s="1"/>
    </row>
    <row r="143" spans="1:25" ht="42.75" hidden="1">
      <c r="A143" s="1" t="s">
        <v>1083</v>
      </c>
      <c r="B143" s="1" t="s">
        <v>215</v>
      </c>
      <c r="C143" s="1" t="s">
        <v>448</v>
      </c>
      <c r="D143" s="1" t="s">
        <v>27</v>
      </c>
      <c r="E143" s="1" t="s">
        <v>449</v>
      </c>
      <c r="F143" s="1" t="s">
        <v>450</v>
      </c>
      <c r="G143" s="1" t="s">
        <v>719</v>
      </c>
      <c r="H143" s="1" t="s">
        <v>1084</v>
      </c>
      <c r="I143" s="1" t="s">
        <v>1085</v>
      </c>
      <c r="J143" s="1" t="s">
        <v>1086</v>
      </c>
      <c r="K143" s="1"/>
      <c r="L143" s="1"/>
      <c r="M143" s="1"/>
      <c r="N143" s="1" t="s">
        <v>397</v>
      </c>
      <c r="O143" s="1">
        <v>18</v>
      </c>
      <c r="P143" s="1" t="s">
        <v>450</v>
      </c>
      <c r="Q143" s="1" t="s">
        <v>193</v>
      </c>
      <c r="R143" s="1" t="s">
        <v>370</v>
      </c>
      <c r="S143" s="1" t="s">
        <v>396</v>
      </c>
      <c r="T143" s="1" t="s">
        <v>49</v>
      </c>
      <c r="U143" s="1" t="s">
        <v>719</v>
      </c>
      <c r="V143" s="1" t="s">
        <v>1085</v>
      </c>
      <c r="W143" s="1" t="s">
        <v>1086</v>
      </c>
      <c r="X143" s="1"/>
      <c r="Y143" s="1"/>
    </row>
    <row r="144" spans="1:25" ht="28.5" hidden="1">
      <c r="A144" s="1" t="s">
        <v>1087</v>
      </c>
      <c r="B144" s="1" t="s">
        <v>215</v>
      </c>
      <c r="C144" s="1" t="s">
        <v>448</v>
      </c>
      <c r="D144" s="1" t="s">
        <v>27</v>
      </c>
      <c r="E144" s="1" t="s">
        <v>449</v>
      </c>
      <c r="F144" s="1" t="s">
        <v>450</v>
      </c>
      <c r="G144" s="1" t="s">
        <v>811</v>
      </c>
      <c r="H144" s="1" t="s">
        <v>1088</v>
      </c>
      <c r="I144" s="1" t="s">
        <v>1089</v>
      </c>
      <c r="J144" s="1" t="s">
        <v>1090</v>
      </c>
      <c r="K144" s="1"/>
      <c r="L144" s="1"/>
      <c r="M144" s="1"/>
      <c r="N144" s="1" t="s">
        <v>397</v>
      </c>
      <c r="O144" s="1">
        <v>19</v>
      </c>
      <c r="P144" s="1" t="s">
        <v>450</v>
      </c>
      <c r="Q144" s="1" t="s">
        <v>193</v>
      </c>
      <c r="R144" s="1" t="s">
        <v>370</v>
      </c>
      <c r="S144" s="1" t="s">
        <v>396</v>
      </c>
      <c r="T144" s="1" t="s">
        <v>49</v>
      </c>
      <c r="U144" s="1" t="s">
        <v>811</v>
      </c>
      <c r="V144" s="1" t="s">
        <v>1089</v>
      </c>
      <c r="W144" s="1" t="s">
        <v>1090</v>
      </c>
      <c r="X144" s="1"/>
      <c r="Y144" s="1"/>
    </row>
    <row r="145" spans="1:25" ht="42.75" hidden="1">
      <c r="A145" s="1" t="s">
        <v>1091</v>
      </c>
      <c r="B145" s="1"/>
      <c r="C145" s="1" t="s">
        <v>487</v>
      </c>
      <c r="D145" s="1" t="s">
        <v>27</v>
      </c>
      <c r="E145" s="1" t="s">
        <v>449</v>
      </c>
      <c r="F145" s="1" t="s">
        <v>488</v>
      </c>
      <c r="G145" s="1"/>
      <c r="H145" s="1" t="s">
        <v>1092</v>
      </c>
      <c r="I145" s="1" t="s">
        <v>1093</v>
      </c>
      <c r="J145" s="1" t="s">
        <v>1094</v>
      </c>
      <c r="K145" s="1" t="s">
        <v>1095</v>
      </c>
      <c r="L145" s="1"/>
      <c r="M145" s="1"/>
      <c r="N145" s="1" t="s">
        <v>397</v>
      </c>
      <c r="O145" s="1">
        <v>25</v>
      </c>
      <c r="P145" s="1" t="s">
        <v>450</v>
      </c>
      <c r="Q145" s="1" t="s">
        <v>193</v>
      </c>
      <c r="R145" s="1" t="s">
        <v>370</v>
      </c>
      <c r="S145" s="1" t="s">
        <v>396</v>
      </c>
      <c r="T145" s="1" t="s">
        <v>49</v>
      </c>
      <c r="U145" s="1"/>
      <c r="V145" s="1" t="s">
        <v>1093</v>
      </c>
      <c r="W145" s="1" t="s">
        <v>1094</v>
      </c>
      <c r="X145" s="1" t="s">
        <v>1095</v>
      </c>
      <c r="Y145" s="1"/>
    </row>
    <row r="146" spans="1:25" ht="57" hidden="1">
      <c r="A146" s="1" t="s">
        <v>1096</v>
      </c>
      <c r="B146" s="1"/>
      <c r="C146" s="1" t="s">
        <v>487</v>
      </c>
      <c r="D146" s="1" t="s">
        <v>27</v>
      </c>
      <c r="E146" s="1" t="s">
        <v>449</v>
      </c>
      <c r="F146" s="1" t="s">
        <v>488</v>
      </c>
      <c r="G146" s="1"/>
      <c r="H146" s="1" t="s">
        <v>1097</v>
      </c>
      <c r="I146" s="1" t="s">
        <v>1098</v>
      </c>
      <c r="J146" s="1" t="s">
        <v>1099</v>
      </c>
      <c r="K146" s="1" t="s">
        <v>1100</v>
      </c>
      <c r="L146" s="1"/>
      <c r="M146" s="1"/>
      <c r="N146" s="1" t="s">
        <v>397</v>
      </c>
      <c r="O146" s="1">
        <v>26</v>
      </c>
      <c r="P146" s="1" t="s">
        <v>450</v>
      </c>
      <c r="Q146" s="1" t="s">
        <v>193</v>
      </c>
      <c r="R146" s="1" t="s">
        <v>370</v>
      </c>
      <c r="S146" s="1" t="s">
        <v>396</v>
      </c>
      <c r="T146" s="1" t="s">
        <v>49</v>
      </c>
      <c r="U146" s="1"/>
      <c r="V146" s="1" t="s">
        <v>1098</v>
      </c>
      <c r="W146" s="1" t="s">
        <v>1099</v>
      </c>
      <c r="X146" s="1" t="s">
        <v>1100</v>
      </c>
      <c r="Y146" s="1"/>
    </row>
    <row r="147" spans="1:25" ht="42.75" hidden="1">
      <c r="A147" s="1" t="s">
        <v>1101</v>
      </c>
      <c r="B147" s="1"/>
      <c r="C147" s="1" t="s">
        <v>487</v>
      </c>
      <c r="D147" s="1" t="s">
        <v>27</v>
      </c>
      <c r="E147" s="1" t="s">
        <v>449</v>
      </c>
      <c r="F147" s="1" t="s">
        <v>488</v>
      </c>
      <c r="G147" s="1"/>
      <c r="H147" s="1" t="s">
        <v>1102</v>
      </c>
      <c r="I147" s="1" t="s">
        <v>1103</v>
      </c>
      <c r="J147" s="1" t="s">
        <v>1104</v>
      </c>
      <c r="K147" s="1" t="s">
        <v>1105</v>
      </c>
      <c r="L147" s="1"/>
      <c r="M147" s="1"/>
      <c r="N147" s="1" t="s">
        <v>397</v>
      </c>
      <c r="O147" s="1">
        <v>27</v>
      </c>
      <c r="P147" s="1" t="s">
        <v>450</v>
      </c>
      <c r="Q147" s="1" t="s">
        <v>193</v>
      </c>
      <c r="R147" s="1" t="s">
        <v>370</v>
      </c>
      <c r="S147" s="1" t="s">
        <v>396</v>
      </c>
      <c r="T147" s="1" t="s">
        <v>49</v>
      </c>
      <c r="U147" s="1"/>
      <c r="V147" s="1" t="s">
        <v>1103</v>
      </c>
      <c r="W147" s="1" t="s">
        <v>1104</v>
      </c>
      <c r="X147" s="1" t="s">
        <v>1105</v>
      </c>
      <c r="Y147" s="1"/>
    </row>
    <row r="148" spans="1:25" ht="28.5" hidden="1">
      <c r="A148" s="1" t="s">
        <v>1106</v>
      </c>
      <c r="B148" s="1"/>
      <c r="C148" s="1" t="s">
        <v>487</v>
      </c>
      <c r="D148" s="1" t="s">
        <v>27</v>
      </c>
      <c r="E148" s="1" t="s">
        <v>449</v>
      </c>
      <c r="F148" s="1" t="s">
        <v>488</v>
      </c>
      <c r="G148" s="1"/>
      <c r="H148" s="1" t="s">
        <v>1107</v>
      </c>
      <c r="I148" s="1" t="s">
        <v>1108</v>
      </c>
      <c r="J148" s="1" t="s">
        <v>1109</v>
      </c>
      <c r="K148" s="1" t="s">
        <v>1110</v>
      </c>
      <c r="L148" s="1"/>
      <c r="M148" s="1"/>
      <c r="N148" s="1" t="s">
        <v>397</v>
      </c>
      <c r="O148" s="1">
        <v>28</v>
      </c>
      <c r="P148" s="1" t="s">
        <v>450</v>
      </c>
      <c r="Q148" s="1" t="s">
        <v>193</v>
      </c>
      <c r="R148" s="1" t="s">
        <v>370</v>
      </c>
      <c r="S148" s="1" t="s">
        <v>396</v>
      </c>
      <c r="T148" s="1" t="s">
        <v>49</v>
      </c>
      <c r="U148" s="1"/>
      <c r="V148" s="1" t="s">
        <v>1108</v>
      </c>
      <c r="W148" s="1" t="s">
        <v>1109</v>
      </c>
      <c r="X148" s="1" t="s">
        <v>1110</v>
      </c>
      <c r="Y148" s="1"/>
    </row>
    <row r="149" spans="1:25" ht="42.75" hidden="1">
      <c r="A149" s="1" t="s">
        <v>1111</v>
      </c>
      <c r="B149" s="1"/>
      <c r="C149" s="1" t="s">
        <v>487</v>
      </c>
      <c r="D149" s="1" t="s">
        <v>27</v>
      </c>
      <c r="E149" s="1" t="s">
        <v>449</v>
      </c>
      <c r="F149" s="1" t="s">
        <v>488</v>
      </c>
      <c r="G149" s="1"/>
      <c r="H149" s="1" t="s">
        <v>1112</v>
      </c>
      <c r="I149" s="1" t="s">
        <v>1113</v>
      </c>
      <c r="J149" s="1" t="s">
        <v>1109</v>
      </c>
      <c r="K149" s="1" t="s">
        <v>1114</v>
      </c>
      <c r="L149" s="1"/>
      <c r="M149" s="1"/>
      <c r="N149" s="1" t="s">
        <v>397</v>
      </c>
      <c r="O149" s="1">
        <v>29</v>
      </c>
      <c r="P149" s="1" t="s">
        <v>450</v>
      </c>
      <c r="Q149" s="1" t="s">
        <v>193</v>
      </c>
      <c r="R149" s="1" t="s">
        <v>370</v>
      </c>
      <c r="S149" s="1" t="s">
        <v>396</v>
      </c>
      <c r="T149" s="1" t="s">
        <v>49</v>
      </c>
      <c r="U149" s="1"/>
      <c r="V149" s="1" t="s">
        <v>1113</v>
      </c>
      <c r="W149" s="1" t="s">
        <v>1109</v>
      </c>
      <c r="X149" s="1" t="s">
        <v>1114</v>
      </c>
      <c r="Y149" s="1"/>
    </row>
    <row r="150" spans="1:25" ht="57" hidden="1">
      <c r="A150" s="1" t="s">
        <v>1115</v>
      </c>
      <c r="B150" s="1"/>
      <c r="C150" s="1" t="s">
        <v>487</v>
      </c>
      <c r="D150" s="1" t="s">
        <v>27</v>
      </c>
      <c r="E150" s="1" t="s">
        <v>449</v>
      </c>
      <c r="F150" s="1" t="s">
        <v>488</v>
      </c>
      <c r="G150" s="1"/>
      <c r="H150" s="1" t="s">
        <v>1116</v>
      </c>
      <c r="I150" s="1" t="s">
        <v>1117</v>
      </c>
      <c r="J150" s="1" t="s">
        <v>1118</v>
      </c>
      <c r="K150" s="1" t="s">
        <v>1119</v>
      </c>
      <c r="L150" s="1"/>
      <c r="M150" s="1"/>
      <c r="N150" s="1" t="s">
        <v>397</v>
      </c>
      <c r="O150" s="1">
        <v>30</v>
      </c>
      <c r="P150" s="1" t="s">
        <v>450</v>
      </c>
      <c r="Q150" s="1" t="s">
        <v>193</v>
      </c>
      <c r="R150" s="1" t="s">
        <v>370</v>
      </c>
      <c r="S150" s="1" t="s">
        <v>396</v>
      </c>
      <c r="T150" s="1" t="s">
        <v>49</v>
      </c>
      <c r="U150" s="1"/>
      <c r="V150" s="1" t="s">
        <v>1117</v>
      </c>
      <c r="W150" s="1" t="s">
        <v>1118</v>
      </c>
      <c r="X150" s="1" t="s">
        <v>1119</v>
      </c>
      <c r="Y150" s="1"/>
    </row>
    <row r="151" spans="1:25" ht="42.75" hidden="1">
      <c r="A151" s="1" t="s">
        <v>1120</v>
      </c>
      <c r="B151" s="1"/>
      <c r="C151" s="1" t="s">
        <v>487</v>
      </c>
      <c r="D151" s="1" t="s">
        <v>27</v>
      </c>
      <c r="E151" s="1" t="s">
        <v>449</v>
      </c>
      <c r="F151" s="1" t="s">
        <v>488</v>
      </c>
      <c r="G151" s="1"/>
      <c r="H151" s="1" t="s">
        <v>1121</v>
      </c>
      <c r="I151" s="1" t="s">
        <v>1122</v>
      </c>
      <c r="J151" s="1" t="s">
        <v>1123</v>
      </c>
      <c r="K151" s="1" t="s">
        <v>1124</v>
      </c>
      <c r="L151" s="1"/>
      <c r="M151" s="1"/>
      <c r="N151" s="1" t="s">
        <v>397</v>
      </c>
      <c r="O151" s="1">
        <v>31</v>
      </c>
      <c r="P151" s="1" t="s">
        <v>450</v>
      </c>
      <c r="Q151" s="1" t="s">
        <v>193</v>
      </c>
      <c r="R151" s="1" t="s">
        <v>370</v>
      </c>
      <c r="S151" s="1" t="s">
        <v>396</v>
      </c>
      <c r="T151" s="1" t="s">
        <v>49</v>
      </c>
      <c r="U151" s="1"/>
      <c r="V151" s="1" t="s">
        <v>1122</v>
      </c>
      <c r="W151" s="1" t="s">
        <v>1123</v>
      </c>
      <c r="X151" s="1" t="s">
        <v>1124</v>
      </c>
      <c r="Y151" s="1"/>
    </row>
    <row r="152" spans="1:25" ht="28.5" hidden="1">
      <c r="A152" s="1" t="s">
        <v>1125</v>
      </c>
      <c r="B152" s="1" t="s">
        <v>96</v>
      </c>
      <c r="C152" s="1" t="s">
        <v>448</v>
      </c>
      <c r="D152" s="1" t="s">
        <v>27</v>
      </c>
      <c r="E152" s="1" t="s">
        <v>449</v>
      </c>
      <c r="F152" s="1" t="s">
        <v>498</v>
      </c>
      <c r="G152" s="1" t="s">
        <v>529</v>
      </c>
      <c r="H152" s="1" t="s">
        <v>1126</v>
      </c>
      <c r="I152" s="1" t="s">
        <v>1127</v>
      </c>
      <c r="J152" s="1" t="s">
        <v>415</v>
      </c>
      <c r="K152" s="1" t="s">
        <v>1128</v>
      </c>
      <c r="L152" s="1" t="s">
        <v>1129</v>
      </c>
      <c r="M152" s="1" t="s">
        <v>370</v>
      </c>
      <c r="N152" s="1" t="s">
        <v>372</v>
      </c>
      <c r="O152" s="1">
        <v>7</v>
      </c>
      <c r="P152" s="1" t="s">
        <v>498</v>
      </c>
      <c r="Q152" s="1" t="s">
        <v>97</v>
      </c>
      <c r="R152" s="1" t="s">
        <v>370</v>
      </c>
      <c r="S152" s="1" t="s">
        <v>371</v>
      </c>
      <c r="T152" s="1" t="s">
        <v>49</v>
      </c>
      <c r="U152" s="1" t="s">
        <v>529</v>
      </c>
      <c r="V152" s="1" t="s">
        <v>1127</v>
      </c>
      <c r="W152" s="1" t="s">
        <v>415</v>
      </c>
      <c r="X152" s="1" t="s">
        <v>1128</v>
      </c>
      <c r="Y152" s="1"/>
    </row>
    <row r="153" spans="1:25" ht="42.75" hidden="1">
      <c r="A153" s="1" t="s">
        <v>1130</v>
      </c>
      <c r="B153" s="1" t="s">
        <v>96</v>
      </c>
      <c r="C153" s="1" t="s">
        <v>448</v>
      </c>
      <c r="D153" s="1" t="s">
        <v>27</v>
      </c>
      <c r="E153" s="1" t="s">
        <v>449</v>
      </c>
      <c r="F153" s="1" t="s">
        <v>498</v>
      </c>
      <c r="G153" s="1" t="s">
        <v>535</v>
      </c>
      <c r="H153" s="1" t="s">
        <v>1131</v>
      </c>
      <c r="I153" s="1" t="s">
        <v>1132</v>
      </c>
      <c r="J153" s="1" t="s">
        <v>1133</v>
      </c>
      <c r="K153" s="1" t="s">
        <v>1134</v>
      </c>
      <c r="L153" s="1" t="s">
        <v>1129</v>
      </c>
      <c r="M153" s="1" t="s">
        <v>370</v>
      </c>
      <c r="N153" s="1" t="s">
        <v>372</v>
      </c>
      <c r="O153" s="1">
        <v>8</v>
      </c>
      <c r="P153" s="1" t="s">
        <v>498</v>
      </c>
      <c r="Q153" s="1" t="s">
        <v>97</v>
      </c>
      <c r="R153" s="1" t="s">
        <v>370</v>
      </c>
      <c r="S153" s="1" t="s">
        <v>371</v>
      </c>
      <c r="T153" s="1" t="s">
        <v>49</v>
      </c>
      <c r="U153" s="1" t="s">
        <v>535</v>
      </c>
      <c r="V153" s="1" t="s">
        <v>1132</v>
      </c>
      <c r="W153" s="1" t="s">
        <v>1133</v>
      </c>
      <c r="X153" s="1" t="s">
        <v>1134</v>
      </c>
      <c r="Y153" s="1"/>
    </row>
    <row r="154" spans="1:25" ht="99.75" hidden="1">
      <c r="A154" s="1" t="s">
        <v>1135</v>
      </c>
      <c r="B154" s="1" t="s">
        <v>96</v>
      </c>
      <c r="C154" s="1" t="s">
        <v>448</v>
      </c>
      <c r="D154" s="1" t="s">
        <v>27</v>
      </c>
      <c r="E154" s="1" t="s">
        <v>449</v>
      </c>
      <c r="F154" s="1" t="s">
        <v>498</v>
      </c>
      <c r="G154" s="1" t="s">
        <v>541</v>
      </c>
      <c r="H154" s="1" t="s">
        <v>1136</v>
      </c>
      <c r="I154" s="1" t="s">
        <v>1137</v>
      </c>
      <c r="J154" s="1" t="s">
        <v>1138</v>
      </c>
      <c r="K154" s="1" t="s">
        <v>1139</v>
      </c>
      <c r="L154" s="1" t="s">
        <v>1140</v>
      </c>
      <c r="M154" s="1" t="s">
        <v>370</v>
      </c>
      <c r="N154" s="1" t="s">
        <v>372</v>
      </c>
      <c r="O154" s="1">
        <v>9</v>
      </c>
      <c r="P154" s="1" t="s">
        <v>498</v>
      </c>
      <c r="Q154" s="1" t="s">
        <v>97</v>
      </c>
      <c r="R154" s="1" t="s">
        <v>370</v>
      </c>
      <c r="S154" s="1" t="s">
        <v>371</v>
      </c>
      <c r="T154" s="1" t="s">
        <v>49</v>
      </c>
      <c r="U154" s="1" t="s">
        <v>541</v>
      </c>
      <c r="V154" s="1" t="s">
        <v>1137</v>
      </c>
      <c r="W154" s="1" t="s">
        <v>1138</v>
      </c>
      <c r="X154" s="1" t="s">
        <v>1139</v>
      </c>
      <c r="Y154" s="1"/>
    </row>
    <row r="155" spans="1:25" ht="71.25" hidden="1">
      <c r="A155" s="1" t="s">
        <v>1141</v>
      </c>
      <c r="B155" s="1" t="s">
        <v>96</v>
      </c>
      <c r="C155" s="1" t="s">
        <v>448</v>
      </c>
      <c r="D155" s="1" t="s">
        <v>27</v>
      </c>
      <c r="E155" s="1" t="s">
        <v>449</v>
      </c>
      <c r="F155" s="1" t="s">
        <v>498</v>
      </c>
      <c r="G155" s="1" t="s">
        <v>547</v>
      </c>
      <c r="H155" s="1" t="s">
        <v>1142</v>
      </c>
      <c r="I155" s="1" t="s">
        <v>1143</v>
      </c>
      <c r="J155" s="1" t="s">
        <v>1144</v>
      </c>
      <c r="K155" s="1" t="s">
        <v>1145</v>
      </c>
      <c r="L155" s="1" t="s">
        <v>1140</v>
      </c>
      <c r="M155" s="1" t="s">
        <v>370</v>
      </c>
      <c r="N155" s="1" t="s">
        <v>372</v>
      </c>
      <c r="O155" s="1">
        <v>10</v>
      </c>
      <c r="P155" s="1" t="s">
        <v>498</v>
      </c>
      <c r="Q155" s="1" t="s">
        <v>97</v>
      </c>
      <c r="R155" s="1" t="s">
        <v>370</v>
      </c>
      <c r="S155" s="1" t="s">
        <v>371</v>
      </c>
      <c r="T155" s="1" t="s">
        <v>49</v>
      </c>
      <c r="U155" s="1" t="s">
        <v>547</v>
      </c>
      <c r="V155" s="1" t="s">
        <v>1143</v>
      </c>
      <c r="W155" s="1" t="s">
        <v>1144</v>
      </c>
      <c r="X155" s="1" t="s">
        <v>1145</v>
      </c>
      <c r="Y155" s="1"/>
    </row>
    <row r="156" spans="1:25" ht="42.75" hidden="1">
      <c r="A156" s="1" t="s">
        <v>1146</v>
      </c>
      <c r="B156" s="1" t="s">
        <v>96</v>
      </c>
      <c r="C156" s="1" t="s">
        <v>448</v>
      </c>
      <c r="D156" s="1" t="s">
        <v>27</v>
      </c>
      <c r="E156" s="1" t="s">
        <v>449</v>
      </c>
      <c r="F156" s="1" t="s">
        <v>498</v>
      </c>
      <c r="G156" s="1" t="s">
        <v>553</v>
      </c>
      <c r="H156" s="1" t="s">
        <v>1147</v>
      </c>
      <c r="I156" s="1" t="s">
        <v>1148</v>
      </c>
      <c r="J156" s="1" t="s">
        <v>538</v>
      </c>
      <c r="K156" s="1" t="s">
        <v>1149</v>
      </c>
      <c r="L156" s="1" t="s">
        <v>1140</v>
      </c>
      <c r="M156" s="1" t="s">
        <v>370</v>
      </c>
      <c r="N156" s="1" t="s">
        <v>372</v>
      </c>
      <c r="O156" s="1">
        <v>11</v>
      </c>
      <c r="P156" s="1" t="s">
        <v>498</v>
      </c>
      <c r="Q156" s="1" t="s">
        <v>97</v>
      </c>
      <c r="R156" s="1" t="s">
        <v>370</v>
      </c>
      <c r="S156" s="1" t="s">
        <v>371</v>
      </c>
      <c r="T156" s="1" t="s">
        <v>49</v>
      </c>
      <c r="U156" s="1" t="s">
        <v>553</v>
      </c>
      <c r="V156" s="1" t="s">
        <v>1148</v>
      </c>
      <c r="W156" s="1" t="s">
        <v>538</v>
      </c>
      <c r="X156" s="1" t="s">
        <v>1149</v>
      </c>
      <c r="Y156" s="1"/>
    </row>
    <row r="157" spans="1:25" ht="42.75" hidden="1">
      <c r="A157" s="1" t="s">
        <v>1150</v>
      </c>
      <c r="B157" s="1" t="s">
        <v>96</v>
      </c>
      <c r="C157" s="1" t="s">
        <v>448</v>
      </c>
      <c r="D157" s="1" t="s">
        <v>27</v>
      </c>
      <c r="E157" s="1" t="s">
        <v>449</v>
      </c>
      <c r="F157" s="1" t="s">
        <v>498</v>
      </c>
      <c r="G157" s="1" t="s">
        <v>559</v>
      </c>
      <c r="H157" s="1" t="s">
        <v>1151</v>
      </c>
      <c r="I157" s="1" t="s">
        <v>1152</v>
      </c>
      <c r="J157" s="1" t="s">
        <v>1153</v>
      </c>
      <c r="K157" s="1" t="s">
        <v>1154</v>
      </c>
      <c r="L157" s="1" t="s">
        <v>1129</v>
      </c>
      <c r="M157" s="1" t="s">
        <v>370</v>
      </c>
      <c r="N157" s="1" t="s">
        <v>372</v>
      </c>
      <c r="O157" s="1">
        <v>12</v>
      </c>
      <c r="P157" s="1" t="s">
        <v>498</v>
      </c>
      <c r="Q157" s="1" t="s">
        <v>97</v>
      </c>
      <c r="R157" s="1" t="s">
        <v>370</v>
      </c>
      <c r="S157" s="1" t="s">
        <v>371</v>
      </c>
      <c r="T157" s="1" t="s">
        <v>49</v>
      </c>
      <c r="U157" s="1" t="s">
        <v>559</v>
      </c>
      <c r="V157" s="1" t="s">
        <v>1152</v>
      </c>
      <c r="W157" s="1" t="s">
        <v>1153</v>
      </c>
      <c r="X157" s="1" t="s">
        <v>1154</v>
      </c>
      <c r="Y157" s="1"/>
    </row>
    <row r="158" spans="1:25" ht="42.75" hidden="1">
      <c r="A158" s="1" t="s">
        <v>1155</v>
      </c>
      <c r="B158" s="1" t="s">
        <v>96</v>
      </c>
      <c r="C158" s="1" t="s">
        <v>448</v>
      </c>
      <c r="D158" s="1" t="s">
        <v>27</v>
      </c>
      <c r="E158" s="1" t="s">
        <v>449</v>
      </c>
      <c r="F158" s="1" t="s">
        <v>498</v>
      </c>
      <c r="G158" s="1" t="s">
        <v>565</v>
      </c>
      <c r="H158" s="1" t="s">
        <v>1156</v>
      </c>
      <c r="I158" s="1" t="s">
        <v>1157</v>
      </c>
      <c r="J158" s="1" t="s">
        <v>1158</v>
      </c>
      <c r="K158" s="1" t="s">
        <v>1159</v>
      </c>
      <c r="L158" s="1" t="s">
        <v>1129</v>
      </c>
      <c r="M158" s="1" t="s">
        <v>370</v>
      </c>
      <c r="N158" s="1" t="s">
        <v>372</v>
      </c>
      <c r="O158" s="1">
        <v>13</v>
      </c>
      <c r="P158" s="1" t="s">
        <v>498</v>
      </c>
      <c r="Q158" s="1" t="s">
        <v>97</v>
      </c>
      <c r="R158" s="1" t="s">
        <v>370</v>
      </c>
      <c r="S158" s="1" t="s">
        <v>371</v>
      </c>
      <c r="T158" s="1" t="s">
        <v>49</v>
      </c>
      <c r="U158" s="1" t="s">
        <v>565</v>
      </c>
      <c r="V158" s="1" t="s">
        <v>1157</v>
      </c>
      <c r="W158" s="1" t="s">
        <v>1158</v>
      </c>
      <c r="X158" s="1" t="s">
        <v>1159</v>
      </c>
      <c r="Y158" s="1"/>
    </row>
    <row r="159" spans="1:25" ht="28.5" hidden="1">
      <c r="A159" s="1" t="s">
        <v>1160</v>
      </c>
      <c r="B159" s="1" t="s">
        <v>96</v>
      </c>
      <c r="C159" s="1" t="s">
        <v>448</v>
      </c>
      <c r="D159" s="1" t="s">
        <v>27</v>
      </c>
      <c r="E159" s="1" t="s">
        <v>449</v>
      </c>
      <c r="F159" s="1" t="s">
        <v>498</v>
      </c>
      <c r="G159" s="1" t="s">
        <v>571</v>
      </c>
      <c r="H159" s="1" t="s">
        <v>1161</v>
      </c>
      <c r="I159" s="1" t="s">
        <v>1162</v>
      </c>
      <c r="J159" s="1" t="s">
        <v>1163</v>
      </c>
      <c r="K159" s="1" t="s">
        <v>1164</v>
      </c>
      <c r="L159" s="1" t="s">
        <v>1129</v>
      </c>
      <c r="M159" s="1" t="s">
        <v>370</v>
      </c>
      <c r="N159" s="1" t="s">
        <v>372</v>
      </c>
      <c r="O159" s="1">
        <v>14</v>
      </c>
      <c r="P159" s="1" t="s">
        <v>498</v>
      </c>
      <c r="Q159" s="1" t="s">
        <v>97</v>
      </c>
      <c r="R159" s="1" t="s">
        <v>370</v>
      </c>
      <c r="S159" s="1" t="s">
        <v>371</v>
      </c>
      <c r="T159" s="1" t="s">
        <v>49</v>
      </c>
      <c r="U159" s="1" t="s">
        <v>571</v>
      </c>
      <c r="V159" s="1" t="s">
        <v>1162</v>
      </c>
      <c r="W159" s="1" t="s">
        <v>1163</v>
      </c>
      <c r="X159" s="1" t="s">
        <v>1164</v>
      </c>
      <c r="Y159" s="1"/>
    </row>
    <row r="160" spans="1:25" ht="28.5" hidden="1">
      <c r="A160" s="1" t="s">
        <v>1165</v>
      </c>
      <c r="B160" s="1" t="s">
        <v>123</v>
      </c>
      <c r="C160" s="1" t="s">
        <v>448</v>
      </c>
      <c r="D160" s="1" t="s">
        <v>27</v>
      </c>
      <c r="E160" s="1" t="s">
        <v>449</v>
      </c>
      <c r="F160" s="1" t="s">
        <v>498</v>
      </c>
      <c r="G160" s="1" t="s">
        <v>701</v>
      </c>
      <c r="H160" s="1" t="s">
        <v>1166</v>
      </c>
      <c r="I160" s="1" t="s">
        <v>1167</v>
      </c>
      <c r="J160" s="1" t="s">
        <v>1168</v>
      </c>
      <c r="K160" s="1" t="s">
        <v>1169</v>
      </c>
      <c r="L160" s="1" t="s">
        <v>1129</v>
      </c>
      <c r="M160" s="1" t="s">
        <v>370</v>
      </c>
      <c r="N160" s="1" t="s">
        <v>372</v>
      </c>
      <c r="O160" s="1">
        <v>15</v>
      </c>
      <c r="P160" s="1" t="s">
        <v>498</v>
      </c>
      <c r="Q160" s="1" t="s">
        <v>97</v>
      </c>
      <c r="R160" s="1" t="s">
        <v>370</v>
      </c>
      <c r="S160" s="1" t="s">
        <v>371</v>
      </c>
      <c r="T160" s="1" t="s">
        <v>49</v>
      </c>
      <c r="U160" s="1" t="s">
        <v>701</v>
      </c>
      <c r="V160" s="1" t="s">
        <v>1167</v>
      </c>
      <c r="W160" s="1" t="s">
        <v>1168</v>
      </c>
      <c r="X160" s="1" t="s">
        <v>1169</v>
      </c>
      <c r="Y160" s="1"/>
    </row>
    <row r="161" spans="1:25" ht="28.5" hidden="1">
      <c r="A161" s="1" t="s">
        <v>1170</v>
      </c>
      <c r="B161" s="1" t="s">
        <v>123</v>
      </c>
      <c r="C161" s="1" t="s">
        <v>448</v>
      </c>
      <c r="D161" s="1" t="s">
        <v>27</v>
      </c>
      <c r="E161" s="1" t="s">
        <v>449</v>
      </c>
      <c r="F161" s="1" t="s">
        <v>498</v>
      </c>
      <c r="G161" s="1" t="s">
        <v>707</v>
      </c>
      <c r="H161" s="1" t="s">
        <v>1171</v>
      </c>
      <c r="I161" s="1" t="s">
        <v>1172</v>
      </c>
      <c r="J161" s="1" t="s">
        <v>1173</v>
      </c>
      <c r="K161" s="1"/>
      <c r="L161" s="1" t="s">
        <v>1129</v>
      </c>
      <c r="M161" s="1" t="s">
        <v>370</v>
      </c>
      <c r="N161" s="1" t="s">
        <v>372</v>
      </c>
      <c r="O161" s="1">
        <v>16</v>
      </c>
      <c r="P161" s="1" t="s">
        <v>498</v>
      </c>
      <c r="Q161" s="1" t="s">
        <v>97</v>
      </c>
      <c r="R161" s="1" t="s">
        <v>370</v>
      </c>
      <c r="S161" s="1" t="s">
        <v>371</v>
      </c>
      <c r="T161" s="1" t="s">
        <v>49</v>
      </c>
      <c r="U161" s="1" t="s">
        <v>707</v>
      </c>
      <c r="V161" s="1" t="s">
        <v>1172</v>
      </c>
      <c r="W161" s="1" t="s">
        <v>1173</v>
      </c>
      <c r="X161" s="1"/>
      <c r="Y161" s="1"/>
    </row>
    <row r="162" spans="1:25" ht="28.5" hidden="1">
      <c r="A162" s="1" t="s">
        <v>1174</v>
      </c>
      <c r="B162" s="1" t="s">
        <v>123</v>
      </c>
      <c r="C162" s="1" t="s">
        <v>448</v>
      </c>
      <c r="D162" s="1" t="s">
        <v>27</v>
      </c>
      <c r="E162" s="1" t="s">
        <v>449</v>
      </c>
      <c r="F162" s="1" t="s">
        <v>498</v>
      </c>
      <c r="G162" s="1" t="s">
        <v>713</v>
      </c>
      <c r="H162" s="1" t="s">
        <v>1175</v>
      </c>
      <c r="I162" s="1" t="s">
        <v>1176</v>
      </c>
      <c r="J162" s="1" t="s">
        <v>1177</v>
      </c>
      <c r="K162" s="1" t="s">
        <v>1178</v>
      </c>
      <c r="L162" s="1" t="s">
        <v>1129</v>
      </c>
      <c r="M162" s="1" t="s">
        <v>370</v>
      </c>
      <c r="N162" s="1" t="s">
        <v>372</v>
      </c>
      <c r="O162" s="1">
        <v>17</v>
      </c>
      <c r="P162" s="1" t="s">
        <v>498</v>
      </c>
      <c r="Q162" s="1" t="s">
        <v>97</v>
      </c>
      <c r="R162" s="1" t="s">
        <v>370</v>
      </c>
      <c r="S162" s="1" t="s">
        <v>371</v>
      </c>
      <c r="T162" s="1" t="s">
        <v>49</v>
      </c>
      <c r="U162" s="1" t="s">
        <v>713</v>
      </c>
      <c r="V162" s="1" t="s">
        <v>1176</v>
      </c>
      <c r="W162" s="1" t="s">
        <v>1177</v>
      </c>
      <c r="X162" s="1" t="s">
        <v>1178</v>
      </c>
      <c r="Y162" s="1"/>
    </row>
    <row r="163" spans="1:25" ht="42.75" hidden="1">
      <c r="A163" s="1" t="s">
        <v>1179</v>
      </c>
      <c r="B163" s="1" t="s">
        <v>123</v>
      </c>
      <c r="C163" s="1" t="s">
        <v>448</v>
      </c>
      <c r="D163" s="1" t="s">
        <v>27</v>
      </c>
      <c r="E163" s="1" t="s">
        <v>449</v>
      </c>
      <c r="F163" s="1" t="s">
        <v>498</v>
      </c>
      <c r="G163" s="1" t="s">
        <v>719</v>
      </c>
      <c r="H163" s="1" t="s">
        <v>1180</v>
      </c>
      <c r="I163" s="1" t="s">
        <v>1181</v>
      </c>
      <c r="J163" s="1" t="s">
        <v>1182</v>
      </c>
      <c r="K163" s="1" t="s">
        <v>733</v>
      </c>
      <c r="L163" s="1" t="s">
        <v>1129</v>
      </c>
      <c r="M163" s="1" t="s">
        <v>370</v>
      </c>
      <c r="N163" s="1" t="s">
        <v>372</v>
      </c>
      <c r="O163" s="1">
        <v>18</v>
      </c>
      <c r="P163" s="1" t="s">
        <v>498</v>
      </c>
      <c r="Q163" s="1" t="s">
        <v>97</v>
      </c>
      <c r="R163" s="1" t="s">
        <v>370</v>
      </c>
      <c r="S163" s="1" t="s">
        <v>371</v>
      </c>
      <c r="T163" s="1" t="s">
        <v>49</v>
      </c>
      <c r="U163" s="1" t="s">
        <v>719</v>
      </c>
      <c r="V163" s="1" t="s">
        <v>1181</v>
      </c>
      <c r="W163" s="1" t="s">
        <v>1182</v>
      </c>
      <c r="X163" s="1" t="s">
        <v>733</v>
      </c>
      <c r="Y163" s="1"/>
    </row>
    <row r="164" spans="1:25" ht="28.5" hidden="1">
      <c r="A164" s="1" t="s">
        <v>1183</v>
      </c>
      <c r="B164" s="1" t="s">
        <v>123</v>
      </c>
      <c r="C164" s="1" t="s">
        <v>448</v>
      </c>
      <c r="D164" s="1" t="s">
        <v>27</v>
      </c>
      <c r="E164" s="1" t="s">
        <v>449</v>
      </c>
      <c r="F164" s="1" t="s">
        <v>498</v>
      </c>
      <c r="G164" s="1" t="s">
        <v>811</v>
      </c>
      <c r="H164" s="1" t="s">
        <v>1184</v>
      </c>
      <c r="I164" s="1" t="s">
        <v>1185</v>
      </c>
      <c r="J164" s="1" t="s">
        <v>1186</v>
      </c>
      <c r="K164" s="1" t="s">
        <v>1187</v>
      </c>
      <c r="L164" s="1" t="s">
        <v>1129</v>
      </c>
      <c r="M164" s="1" t="s">
        <v>370</v>
      </c>
      <c r="N164" s="1" t="s">
        <v>372</v>
      </c>
      <c r="O164" s="1">
        <v>19</v>
      </c>
      <c r="P164" s="1" t="s">
        <v>498</v>
      </c>
      <c r="Q164" s="1" t="s">
        <v>97</v>
      </c>
      <c r="R164" s="1" t="s">
        <v>370</v>
      </c>
      <c r="S164" s="1" t="s">
        <v>371</v>
      </c>
      <c r="T164" s="1" t="s">
        <v>49</v>
      </c>
      <c r="U164" s="1" t="s">
        <v>811</v>
      </c>
      <c r="V164" s="1" t="s">
        <v>1185</v>
      </c>
      <c r="W164" s="1" t="s">
        <v>1186</v>
      </c>
      <c r="X164" s="1" t="s">
        <v>1187</v>
      </c>
      <c r="Y164" s="1"/>
    </row>
    <row r="165" spans="1:25" ht="85.5" hidden="1">
      <c r="A165" s="1" t="s">
        <v>1188</v>
      </c>
      <c r="B165" s="1" t="s">
        <v>123</v>
      </c>
      <c r="C165" s="1" t="s">
        <v>448</v>
      </c>
      <c r="D165" s="1" t="s">
        <v>27</v>
      </c>
      <c r="E165" s="1" t="s">
        <v>449</v>
      </c>
      <c r="F165" s="1" t="s">
        <v>498</v>
      </c>
      <c r="G165" s="1" t="s">
        <v>827</v>
      </c>
      <c r="H165" s="1" t="s">
        <v>1189</v>
      </c>
      <c r="I165" s="1" t="s">
        <v>1190</v>
      </c>
      <c r="J165" s="1" t="s">
        <v>1191</v>
      </c>
      <c r="K165" s="1" t="s">
        <v>1192</v>
      </c>
      <c r="L165" s="1" t="s">
        <v>1140</v>
      </c>
      <c r="M165" s="1" t="s">
        <v>370</v>
      </c>
      <c r="N165" s="1" t="s">
        <v>372</v>
      </c>
      <c r="O165" s="1">
        <v>20</v>
      </c>
      <c r="P165" s="1" t="s">
        <v>498</v>
      </c>
      <c r="Q165" s="1" t="s">
        <v>97</v>
      </c>
      <c r="R165" s="1" t="s">
        <v>370</v>
      </c>
      <c r="S165" s="1" t="s">
        <v>371</v>
      </c>
      <c r="T165" s="1" t="s">
        <v>49</v>
      </c>
      <c r="U165" s="1" t="s">
        <v>827</v>
      </c>
      <c r="V165" s="1" t="s">
        <v>1190</v>
      </c>
      <c r="W165" s="1" t="s">
        <v>1191</v>
      </c>
      <c r="X165" s="1" t="s">
        <v>1192</v>
      </c>
      <c r="Y165" s="1"/>
    </row>
    <row r="166" spans="1:25" ht="28.5" hidden="1">
      <c r="A166" s="1" t="s">
        <v>1193</v>
      </c>
      <c r="B166" s="1" t="s">
        <v>123</v>
      </c>
      <c r="C166" s="1" t="s">
        <v>448</v>
      </c>
      <c r="D166" s="1" t="s">
        <v>27</v>
      </c>
      <c r="E166" s="1" t="s">
        <v>449</v>
      </c>
      <c r="F166" s="1" t="s">
        <v>498</v>
      </c>
      <c r="G166" s="1" t="s">
        <v>833</v>
      </c>
      <c r="H166" s="1" t="s">
        <v>1194</v>
      </c>
      <c r="I166" s="1" t="s">
        <v>1195</v>
      </c>
      <c r="J166" s="1" t="s">
        <v>1196</v>
      </c>
      <c r="K166" s="1" t="s">
        <v>1197</v>
      </c>
      <c r="L166" s="1" t="s">
        <v>1129</v>
      </c>
      <c r="M166" s="1" t="s">
        <v>375</v>
      </c>
      <c r="N166" s="1" t="s">
        <v>372</v>
      </c>
      <c r="O166" s="1">
        <v>21</v>
      </c>
      <c r="P166" s="1" t="s">
        <v>498</v>
      </c>
      <c r="Q166" s="1" t="s">
        <v>97</v>
      </c>
      <c r="R166" s="1" t="s">
        <v>370</v>
      </c>
      <c r="S166" s="1" t="s">
        <v>371</v>
      </c>
      <c r="T166" s="1" t="s">
        <v>49</v>
      </c>
      <c r="U166" s="1" t="s">
        <v>833</v>
      </c>
      <c r="V166" s="1" t="s">
        <v>1195</v>
      </c>
      <c r="W166" s="1" t="s">
        <v>1196</v>
      </c>
      <c r="X166" s="1" t="s">
        <v>1197</v>
      </c>
      <c r="Y166" s="1"/>
    </row>
    <row r="167" spans="1:25" ht="28.5" hidden="1">
      <c r="A167" s="1" t="s">
        <v>1198</v>
      </c>
      <c r="B167" s="1" t="s">
        <v>145</v>
      </c>
      <c r="C167" s="1" t="s">
        <v>448</v>
      </c>
      <c r="D167" s="1" t="s">
        <v>27</v>
      </c>
      <c r="E167" s="1" t="s">
        <v>449</v>
      </c>
      <c r="F167" s="1" t="s">
        <v>498</v>
      </c>
      <c r="G167" s="1" t="s">
        <v>451</v>
      </c>
      <c r="H167" s="1" t="s">
        <v>1199</v>
      </c>
      <c r="I167" s="1" t="s">
        <v>1200</v>
      </c>
      <c r="J167" s="1" t="s">
        <v>790</v>
      </c>
      <c r="K167" s="1" t="s">
        <v>1201</v>
      </c>
      <c r="L167" s="1" t="s">
        <v>1129</v>
      </c>
      <c r="M167" s="1" t="s">
        <v>375</v>
      </c>
      <c r="N167" s="1" t="s">
        <v>372</v>
      </c>
      <c r="O167" s="1">
        <v>22</v>
      </c>
      <c r="P167" s="1" t="s">
        <v>498</v>
      </c>
      <c r="Q167" s="1" t="s">
        <v>97</v>
      </c>
      <c r="R167" s="1" t="s">
        <v>370</v>
      </c>
      <c r="S167" s="1" t="s">
        <v>371</v>
      </c>
      <c r="T167" s="1" t="s">
        <v>49</v>
      </c>
      <c r="U167" s="1" t="s">
        <v>451</v>
      </c>
      <c r="V167" s="1" t="s">
        <v>1200</v>
      </c>
      <c r="W167" s="1" t="s">
        <v>790</v>
      </c>
      <c r="X167" s="1" t="s">
        <v>1201</v>
      </c>
      <c r="Y167" s="1"/>
    </row>
    <row r="168" spans="1:25" ht="57" hidden="1">
      <c r="A168" s="1" t="s">
        <v>1202</v>
      </c>
      <c r="B168" s="1"/>
      <c r="C168" s="1" t="s">
        <v>448</v>
      </c>
      <c r="D168" s="1" t="s">
        <v>36</v>
      </c>
      <c r="E168" s="1" t="s">
        <v>577</v>
      </c>
      <c r="F168" s="1"/>
      <c r="G168" s="1"/>
      <c r="H168" s="1" t="s">
        <v>1203</v>
      </c>
      <c r="I168" s="1" t="s">
        <v>1204</v>
      </c>
      <c r="J168" s="1" t="s">
        <v>1205</v>
      </c>
      <c r="K168" s="1" t="s">
        <v>1206</v>
      </c>
      <c r="L168" s="1" t="s">
        <v>1129</v>
      </c>
      <c r="M168" s="1" t="s">
        <v>375</v>
      </c>
      <c r="N168" s="1" t="s">
        <v>372</v>
      </c>
      <c r="O168" s="1">
        <v>23</v>
      </c>
      <c r="P168" s="1" t="s">
        <v>498</v>
      </c>
      <c r="Q168" s="1" t="s">
        <v>97</v>
      </c>
      <c r="R168" s="1" t="s">
        <v>370</v>
      </c>
      <c r="S168" s="1" t="s">
        <v>371</v>
      </c>
      <c r="T168" s="1" t="s">
        <v>49</v>
      </c>
      <c r="U168" s="1" t="s">
        <v>1207</v>
      </c>
      <c r="V168" s="1" t="s">
        <v>1204</v>
      </c>
      <c r="W168" s="1" t="s">
        <v>1205</v>
      </c>
      <c r="X168" s="1" t="s">
        <v>1206</v>
      </c>
      <c r="Y168" s="1" t="s">
        <v>646</v>
      </c>
    </row>
    <row r="169" spans="1:25" ht="57" hidden="1">
      <c r="A169" s="1" t="s">
        <v>1208</v>
      </c>
      <c r="B169" s="1"/>
      <c r="C169" s="1" t="s">
        <v>487</v>
      </c>
      <c r="D169" s="1" t="s">
        <v>36</v>
      </c>
      <c r="E169" s="1" t="s">
        <v>1209</v>
      </c>
      <c r="F169" s="1"/>
      <c r="G169" s="1"/>
      <c r="H169" s="1" t="s">
        <v>1210</v>
      </c>
      <c r="I169" s="1" t="s">
        <v>1211</v>
      </c>
      <c r="J169" s="1" t="s">
        <v>1212</v>
      </c>
      <c r="K169" s="1" t="s">
        <v>1213</v>
      </c>
      <c r="L169" s="1" t="s">
        <v>487</v>
      </c>
      <c r="M169" s="1" t="s">
        <v>487</v>
      </c>
      <c r="N169" s="1" t="s">
        <v>372</v>
      </c>
      <c r="O169" s="1">
        <v>28</v>
      </c>
      <c r="P169" s="1" t="s">
        <v>498</v>
      </c>
      <c r="Q169" s="1" t="s">
        <v>97</v>
      </c>
      <c r="R169" s="1" t="s">
        <v>370</v>
      </c>
      <c r="S169" s="1" t="s">
        <v>371</v>
      </c>
      <c r="T169" s="1" t="s">
        <v>49</v>
      </c>
      <c r="U169" s="1"/>
      <c r="V169" s="1" t="s">
        <v>1211</v>
      </c>
      <c r="W169" s="1" t="s">
        <v>1212</v>
      </c>
      <c r="X169" s="1" t="s">
        <v>1213</v>
      </c>
      <c r="Y169" s="1" t="s">
        <v>1214</v>
      </c>
    </row>
    <row r="170" spans="1:25" ht="42.75" hidden="1">
      <c r="A170" s="1" t="s">
        <v>1215</v>
      </c>
      <c r="B170" s="1"/>
      <c r="C170" s="1" t="s">
        <v>487</v>
      </c>
      <c r="D170" s="1" t="s">
        <v>36</v>
      </c>
      <c r="E170" s="1" t="s">
        <v>1209</v>
      </c>
      <c r="F170" s="1"/>
      <c r="G170" s="1"/>
      <c r="H170" s="1" t="s">
        <v>1216</v>
      </c>
      <c r="I170" s="1" t="s">
        <v>1217</v>
      </c>
      <c r="J170" s="1" t="s">
        <v>1218</v>
      </c>
      <c r="K170" s="1" t="s">
        <v>1219</v>
      </c>
      <c r="L170" s="1" t="s">
        <v>1129</v>
      </c>
      <c r="M170" s="1" t="s">
        <v>487</v>
      </c>
      <c r="N170" s="1" t="s">
        <v>372</v>
      </c>
      <c r="O170" s="1">
        <v>29</v>
      </c>
      <c r="P170" s="1" t="s">
        <v>498</v>
      </c>
      <c r="Q170" s="1" t="s">
        <v>97</v>
      </c>
      <c r="R170" s="1" t="s">
        <v>370</v>
      </c>
      <c r="S170" s="1" t="s">
        <v>371</v>
      </c>
      <c r="T170" s="1" t="s">
        <v>49</v>
      </c>
      <c r="U170" s="1"/>
      <c r="V170" s="1" t="s">
        <v>1217</v>
      </c>
      <c r="W170" s="1" t="s">
        <v>1218</v>
      </c>
      <c r="X170" s="1" t="s">
        <v>1219</v>
      </c>
      <c r="Y170" s="1" t="s">
        <v>1214</v>
      </c>
    </row>
    <row r="171" spans="1:25" ht="42.75" hidden="1">
      <c r="A171" s="1" t="s">
        <v>1220</v>
      </c>
      <c r="B171" s="1" t="s">
        <v>133</v>
      </c>
      <c r="C171" s="1" t="s">
        <v>448</v>
      </c>
      <c r="D171" s="1" t="s">
        <v>27</v>
      </c>
      <c r="E171" s="1" t="s">
        <v>449</v>
      </c>
      <c r="F171" s="1" t="s">
        <v>498</v>
      </c>
      <c r="G171" s="1" t="s">
        <v>1221</v>
      </c>
      <c r="H171" s="1" t="s">
        <v>1222</v>
      </c>
      <c r="I171" s="1" t="s">
        <v>1223</v>
      </c>
      <c r="J171" s="1" t="s">
        <v>841</v>
      </c>
      <c r="K171" s="1" t="s">
        <v>1224</v>
      </c>
      <c r="L171" s="1"/>
      <c r="M171" s="1"/>
      <c r="N171" s="1" t="s">
        <v>386</v>
      </c>
      <c r="O171" s="1">
        <v>7</v>
      </c>
      <c r="P171" s="1" t="s">
        <v>498</v>
      </c>
      <c r="Q171" s="1" t="s">
        <v>134</v>
      </c>
      <c r="R171" s="1" t="s">
        <v>370</v>
      </c>
      <c r="S171" s="1" t="s">
        <v>385</v>
      </c>
      <c r="T171" s="1" t="s">
        <v>33</v>
      </c>
      <c r="U171" s="1" t="s">
        <v>1221</v>
      </c>
      <c r="V171" s="1" t="s">
        <v>1223</v>
      </c>
      <c r="W171" s="1" t="s">
        <v>841</v>
      </c>
      <c r="X171" s="1" t="s">
        <v>1224</v>
      </c>
      <c r="Y171" s="1"/>
    </row>
    <row r="172" spans="1:25" ht="42.75" hidden="1">
      <c r="A172" s="1" t="s">
        <v>1225</v>
      </c>
      <c r="B172" s="1" t="s">
        <v>133</v>
      </c>
      <c r="C172" s="1" t="s">
        <v>448</v>
      </c>
      <c r="D172" s="1" t="s">
        <v>27</v>
      </c>
      <c r="E172" s="1" t="s">
        <v>449</v>
      </c>
      <c r="F172" s="1" t="s">
        <v>498</v>
      </c>
      <c r="G172" s="1" t="s">
        <v>1226</v>
      </c>
      <c r="H172" s="1" t="s">
        <v>1227</v>
      </c>
      <c r="I172" s="1" t="s">
        <v>1228</v>
      </c>
      <c r="J172" s="1" t="s">
        <v>1229</v>
      </c>
      <c r="K172" s="1" t="s">
        <v>1230</v>
      </c>
      <c r="L172" s="1"/>
      <c r="M172" s="1"/>
      <c r="N172" s="1" t="s">
        <v>386</v>
      </c>
      <c r="O172" s="1">
        <v>8</v>
      </c>
      <c r="P172" s="1" t="s">
        <v>498</v>
      </c>
      <c r="Q172" s="1" t="s">
        <v>134</v>
      </c>
      <c r="R172" s="1" t="s">
        <v>370</v>
      </c>
      <c r="S172" s="1" t="s">
        <v>385</v>
      </c>
      <c r="T172" s="1" t="s">
        <v>33</v>
      </c>
      <c r="U172" s="1" t="s">
        <v>1226</v>
      </c>
      <c r="V172" s="1" t="s">
        <v>1228</v>
      </c>
      <c r="W172" s="1" t="s">
        <v>1229</v>
      </c>
      <c r="X172" s="1" t="s">
        <v>1230</v>
      </c>
      <c r="Y172" s="1"/>
    </row>
    <row r="173" spans="1:25" ht="42.75" hidden="1">
      <c r="A173" s="1" t="s">
        <v>1231</v>
      </c>
      <c r="B173" s="1" t="s">
        <v>133</v>
      </c>
      <c r="C173" s="1" t="s">
        <v>448</v>
      </c>
      <c r="D173" s="1" t="s">
        <v>27</v>
      </c>
      <c r="E173" s="1" t="s">
        <v>449</v>
      </c>
      <c r="F173" s="1" t="s">
        <v>498</v>
      </c>
      <c r="G173" s="1" t="s">
        <v>1232</v>
      </c>
      <c r="H173" s="1" t="s">
        <v>1233</v>
      </c>
      <c r="I173" s="1" t="s">
        <v>1234</v>
      </c>
      <c r="J173" s="1" t="s">
        <v>1235</v>
      </c>
      <c r="K173" s="1" t="s">
        <v>1236</v>
      </c>
      <c r="L173" s="1"/>
      <c r="M173" s="1"/>
      <c r="N173" s="1" t="s">
        <v>386</v>
      </c>
      <c r="O173" s="1">
        <v>9</v>
      </c>
      <c r="P173" s="1" t="s">
        <v>498</v>
      </c>
      <c r="Q173" s="1" t="s">
        <v>134</v>
      </c>
      <c r="R173" s="1" t="s">
        <v>370</v>
      </c>
      <c r="S173" s="1" t="s">
        <v>385</v>
      </c>
      <c r="T173" s="1" t="s">
        <v>33</v>
      </c>
      <c r="U173" s="1" t="s">
        <v>1232</v>
      </c>
      <c r="V173" s="1" t="s">
        <v>1234</v>
      </c>
      <c r="W173" s="1" t="s">
        <v>1235</v>
      </c>
      <c r="X173" s="1" t="s">
        <v>1236</v>
      </c>
      <c r="Y173" s="1"/>
    </row>
    <row r="174" spans="1:25" ht="42.75" hidden="1">
      <c r="A174" s="1" t="s">
        <v>1237</v>
      </c>
      <c r="B174" s="1" t="s">
        <v>133</v>
      </c>
      <c r="C174" s="1" t="s">
        <v>448</v>
      </c>
      <c r="D174" s="1" t="s">
        <v>27</v>
      </c>
      <c r="E174" s="1" t="s">
        <v>449</v>
      </c>
      <c r="F174" s="1" t="s">
        <v>498</v>
      </c>
      <c r="G174" s="1" t="s">
        <v>1238</v>
      </c>
      <c r="H174" s="1" t="s">
        <v>1239</v>
      </c>
      <c r="I174" s="1" t="s">
        <v>1240</v>
      </c>
      <c r="J174" s="1" t="s">
        <v>1241</v>
      </c>
      <c r="K174" s="1" t="s">
        <v>1242</v>
      </c>
      <c r="L174" s="1"/>
      <c r="M174" s="1"/>
      <c r="N174" s="1" t="s">
        <v>386</v>
      </c>
      <c r="O174" s="1">
        <v>10</v>
      </c>
      <c r="P174" s="1" t="s">
        <v>498</v>
      </c>
      <c r="Q174" s="1" t="s">
        <v>134</v>
      </c>
      <c r="R174" s="1" t="s">
        <v>370</v>
      </c>
      <c r="S174" s="1" t="s">
        <v>385</v>
      </c>
      <c r="T174" s="1" t="s">
        <v>33</v>
      </c>
      <c r="U174" s="1" t="s">
        <v>1238</v>
      </c>
      <c r="V174" s="1" t="s">
        <v>1240</v>
      </c>
      <c r="W174" s="1" t="s">
        <v>1241</v>
      </c>
      <c r="X174" s="1" t="s">
        <v>1242</v>
      </c>
      <c r="Y174" s="1"/>
    </row>
    <row r="175" spans="1:25" ht="42.75" hidden="1">
      <c r="A175" s="1" t="s">
        <v>1243</v>
      </c>
      <c r="B175" s="1" t="s">
        <v>133</v>
      </c>
      <c r="C175" s="1" t="s">
        <v>448</v>
      </c>
      <c r="D175" s="1" t="s">
        <v>27</v>
      </c>
      <c r="E175" s="1" t="s">
        <v>449</v>
      </c>
      <c r="F175" s="1" t="s">
        <v>498</v>
      </c>
      <c r="G175" s="1" t="s">
        <v>1244</v>
      </c>
      <c r="H175" s="1" t="s">
        <v>1245</v>
      </c>
      <c r="I175" s="1" t="s">
        <v>1246</v>
      </c>
      <c r="J175" s="1" t="s">
        <v>1247</v>
      </c>
      <c r="K175" s="1"/>
      <c r="L175" s="1"/>
      <c r="M175" s="1"/>
      <c r="N175" s="1" t="s">
        <v>386</v>
      </c>
      <c r="O175" s="1">
        <v>11</v>
      </c>
      <c r="P175" s="1" t="s">
        <v>498</v>
      </c>
      <c r="Q175" s="1" t="s">
        <v>134</v>
      </c>
      <c r="R175" s="1" t="s">
        <v>370</v>
      </c>
      <c r="S175" s="1" t="s">
        <v>385</v>
      </c>
      <c r="T175" s="1" t="s">
        <v>33</v>
      </c>
      <c r="U175" s="1" t="s">
        <v>1244</v>
      </c>
      <c r="V175" s="1" t="s">
        <v>1246</v>
      </c>
      <c r="W175" s="1" t="s">
        <v>1247</v>
      </c>
      <c r="X175" s="1"/>
      <c r="Y175" s="1"/>
    </row>
    <row r="176" spans="1:25" ht="42.75" hidden="1">
      <c r="A176" s="1" t="s">
        <v>1248</v>
      </c>
      <c r="B176" s="1" t="s">
        <v>133</v>
      </c>
      <c r="C176" s="1" t="s">
        <v>448</v>
      </c>
      <c r="D176" s="1" t="s">
        <v>27</v>
      </c>
      <c r="E176" s="1" t="s">
        <v>449</v>
      </c>
      <c r="F176" s="1" t="s">
        <v>498</v>
      </c>
      <c r="G176" s="1" t="s">
        <v>1249</v>
      </c>
      <c r="H176" s="1" t="s">
        <v>1250</v>
      </c>
      <c r="I176" s="1" t="s">
        <v>1251</v>
      </c>
      <c r="J176" s="1" t="s">
        <v>1252</v>
      </c>
      <c r="K176" s="1" t="s">
        <v>1253</v>
      </c>
      <c r="L176" s="1"/>
      <c r="M176" s="1"/>
      <c r="N176" s="1" t="s">
        <v>386</v>
      </c>
      <c r="O176" s="1">
        <v>12</v>
      </c>
      <c r="P176" s="1" t="s">
        <v>498</v>
      </c>
      <c r="Q176" s="1" t="s">
        <v>134</v>
      </c>
      <c r="R176" s="1" t="s">
        <v>370</v>
      </c>
      <c r="S176" s="1" t="s">
        <v>385</v>
      </c>
      <c r="T176" s="1" t="s">
        <v>33</v>
      </c>
      <c r="U176" s="1" t="s">
        <v>1249</v>
      </c>
      <c r="V176" s="1" t="s">
        <v>1251</v>
      </c>
      <c r="W176" s="1" t="s">
        <v>1252</v>
      </c>
      <c r="X176" s="1" t="s">
        <v>1253</v>
      </c>
      <c r="Y176" s="1"/>
    </row>
    <row r="177" spans="1:25" ht="42.75" hidden="1">
      <c r="A177" s="1" t="s">
        <v>1254</v>
      </c>
      <c r="B177" s="1" t="s">
        <v>133</v>
      </c>
      <c r="C177" s="1" t="s">
        <v>448</v>
      </c>
      <c r="D177" s="1" t="s">
        <v>27</v>
      </c>
      <c r="E177" s="1" t="s">
        <v>449</v>
      </c>
      <c r="F177" s="1" t="s">
        <v>498</v>
      </c>
      <c r="G177" s="1" t="s">
        <v>1255</v>
      </c>
      <c r="H177" s="1" t="s">
        <v>1256</v>
      </c>
      <c r="I177" s="1" t="s">
        <v>1257</v>
      </c>
      <c r="J177" s="1" t="s">
        <v>1258</v>
      </c>
      <c r="K177" s="1" t="s">
        <v>1259</v>
      </c>
      <c r="L177" s="1"/>
      <c r="M177" s="1"/>
      <c r="N177" s="1" t="s">
        <v>386</v>
      </c>
      <c r="O177" s="1">
        <v>13</v>
      </c>
      <c r="P177" s="1" t="s">
        <v>498</v>
      </c>
      <c r="Q177" s="1" t="s">
        <v>134</v>
      </c>
      <c r="R177" s="1" t="s">
        <v>370</v>
      </c>
      <c r="S177" s="1" t="s">
        <v>385</v>
      </c>
      <c r="T177" s="1" t="s">
        <v>33</v>
      </c>
      <c r="U177" s="1" t="s">
        <v>1255</v>
      </c>
      <c r="V177" s="1" t="s">
        <v>1257</v>
      </c>
      <c r="W177" s="1" t="s">
        <v>1258</v>
      </c>
      <c r="X177" s="1" t="s">
        <v>1259</v>
      </c>
      <c r="Y177" s="1"/>
    </row>
    <row r="178" spans="1:25" ht="42.75" hidden="1">
      <c r="A178" s="1" t="s">
        <v>1260</v>
      </c>
      <c r="B178" s="1"/>
      <c r="C178" s="1" t="s">
        <v>487</v>
      </c>
      <c r="D178" s="1" t="s">
        <v>27</v>
      </c>
      <c r="E178" s="1" t="s">
        <v>449</v>
      </c>
      <c r="F178" s="1" t="s">
        <v>488</v>
      </c>
      <c r="G178" s="1"/>
      <c r="H178" s="1" t="s">
        <v>1261</v>
      </c>
      <c r="I178" s="1" t="s">
        <v>1262</v>
      </c>
      <c r="J178" s="1" t="s">
        <v>1247</v>
      </c>
      <c r="K178" s="1" t="s">
        <v>1263</v>
      </c>
      <c r="L178" s="1"/>
      <c r="M178" s="1"/>
      <c r="N178" s="1" t="s">
        <v>386</v>
      </c>
      <c r="O178" s="1">
        <v>20</v>
      </c>
      <c r="P178" s="1" t="s">
        <v>498</v>
      </c>
      <c r="Q178" s="1" t="s">
        <v>134</v>
      </c>
      <c r="R178" s="1" t="s">
        <v>370</v>
      </c>
      <c r="S178" s="1" t="s">
        <v>385</v>
      </c>
      <c r="T178" s="1" t="s">
        <v>33</v>
      </c>
      <c r="U178" s="1"/>
      <c r="V178" s="1" t="s">
        <v>1262</v>
      </c>
      <c r="W178" s="1" t="s">
        <v>1247</v>
      </c>
      <c r="X178" s="1" t="s">
        <v>1263</v>
      </c>
      <c r="Y178" s="1"/>
    </row>
    <row r="179" spans="1:25" ht="42.75" hidden="1">
      <c r="A179" s="1" t="s">
        <v>1264</v>
      </c>
      <c r="B179" s="1"/>
      <c r="C179" s="1" t="s">
        <v>487</v>
      </c>
      <c r="D179" s="1" t="s">
        <v>27</v>
      </c>
      <c r="E179" s="1" t="s">
        <v>449</v>
      </c>
      <c r="F179" s="1" t="s">
        <v>488</v>
      </c>
      <c r="G179" s="1"/>
      <c r="H179" s="1" t="s">
        <v>1265</v>
      </c>
      <c r="I179" s="1" t="s">
        <v>1266</v>
      </c>
      <c r="J179" s="1" t="s">
        <v>1267</v>
      </c>
      <c r="K179" s="1" t="s">
        <v>1268</v>
      </c>
      <c r="L179" s="1"/>
      <c r="M179" s="1"/>
      <c r="N179" s="1" t="s">
        <v>386</v>
      </c>
      <c r="O179" s="1">
        <v>21</v>
      </c>
      <c r="P179" s="1" t="s">
        <v>498</v>
      </c>
      <c r="Q179" s="1" t="s">
        <v>134</v>
      </c>
      <c r="R179" s="1" t="s">
        <v>370</v>
      </c>
      <c r="S179" s="1" t="s">
        <v>385</v>
      </c>
      <c r="T179" s="1" t="s">
        <v>33</v>
      </c>
      <c r="U179" s="1"/>
      <c r="V179" s="1" t="s">
        <v>1266</v>
      </c>
      <c r="W179" s="1" t="s">
        <v>1267</v>
      </c>
      <c r="X179" s="1" t="s">
        <v>1268</v>
      </c>
      <c r="Y179" s="1"/>
    </row>
    <row r="180" spans="1:25" ht="42.75" hidden="1">
      <c r="A180" s="1" t="s">
        <v>1269</v>
      </c>
      <c r="B180" s="1" t="s">
        <v>294</v>
      </c>
      <c r="C180" s="1" t="s">
        <v>448</v>
      </c>
      <c r="D180" s="1" t="s">
        <v>27</v>
      </c>
      <c r="E180" s="1" t="s">
        <v>449</v>
      </c>
      <c r="F180" s="1" t="s">
        <v>528</v>
      </c>
      <c r="G180" s="1" t="s">
        <v>719</v>
      </c>
      <c r="H180" s="1" t="s">
        <v>739</v>
      </c>
      <c r="I180" s="1" t="s">
        <v>1270</v>
      </c>
      <c r="J180" s="1" t="s">
        <v>1271</v>
      </c>
      <c r="K180" s="1"/>
      <c r="L180" s="1"/>
      <c r="M180" s="1" t="s">
        <v>1272</v>
      </c>
      <c r="N180" s="1" t="s">
        <v>416</v>
      </c>
      <c r="O180" s="1">
        <v>7</v>
      </c>
      <c r="P180" s="1" t="s">
        <v>528</v>
      </c>
      <c r="Q180" s="1" t="s">
        <v>295</v>
      </c>
      <c r="R180" s="1" t="s">
        <v>370</v>
      </c>
      <c r="S180" s="1" t="s">
        <v>415</v>
      </c>
      <c r="T180" s="1" t="s">
        <v>23</v>
      </c>
      <c r="U180" s="1" t="s">
        <v>719</v>
      </c>
      <c r="V180" s="1" t="s">
        <v>1270</v>
      </c>
      <c r="W180" s="1" t="s">
        <v>1271</v>
      </c>
      <c r="X180" s="1"/>
      <c r="Y180" s="1"/>
    </row>
    <row r="181" spans="1:25" ht="42.75" hidden="1">
      <c r="A181" s="1" t="s">
        <v>1273</v>
      </c>
      <c r="B181" s="1" t="s">
        <v>294</v>
      </c>
      <c r="C181" s="1" t="s">
        <v>448</v>
      </c>
      <c r="D181" s="1" t="s">
        <v>27</v>
      </c>
      <c r="E181" s="1" t="s">
        <v>449</v>
      </c>
      <c r="F181" s="1" t="s">
        <v>528</v>
      </c>
      <c r="G181" s="1" t="s">
        <v>811</v>
      </c>
      <c r="H181" s="1" t="s">
        <v>1274</v>
      </c>
      <c r="I181" s="1" t="s">
        <v>1275</v>
      </c>
      <c r="J181" s="1" t="s">
        <v>415</v>
      </c>
      <c r="K181" s="1"/>
      <c r="L181" s="1"/>
      <c r="M181" s="1" t="s">
        <v>1272</v>
      </c>
      <c r="N181" s="1" t="s">
        <v>416</v>
      </c>
      <c r="O181" s="1">
        <v>8</v>
      </c>
      <c r="P181" s="1" t="s">
        <v>528</v>
      </c>
      <c r="Q181" s="1" t="s">
        <v>295</v>
      </c>
      <c r="R181" s="1" t="s">
        <v>370</v>
      </c>
      <c r="S181" s="1" t="s">
        <v>415</v>
      </c>
      <c r="T181" s="1" t="s">
        <v>23</v>
      </c>
      <c r="U181" s="1" t="s">
        <v>811</v>
      </c>
      <c r="V181" s="1" t="s">
        <v>1275</v>
      </c>
      <c r="W181" s="1" t="s">
        <v>415</v>
      </c>
      <c r="X181" s="1"/>
      <c r="Y181" s="1"/>
    </row>
    <row r="182" spans="1:25" ht="42.75" hidden="1">
      <c r="A182" s="1" t="s">
        <v>1276</v>
      </c>
      <c r="B182" s="1" t="s">
        <v>294</v>
      </c>
      <c r="C182" s="1" t="s">
        <v>448</v>
      </c>
      <c r="D182" s="1" t="s">
        <v>27</v>
      </c>
      <c r="E182" s="1" t="s">
        <v>449</v>
      </c>
      <c r="F182" s="1" t="s">
        <v>528</v>
      </c>
      <c r="G182" s="1" t="s">
        <v>827</v>
      </c>
      <c r="H182" s="1" t="s">
        <v>1277</v>
      </c>
      <c r="I182" s="1" t="s">
        <v>1278</v>
      </c>
      <c r="J182" s="1" t="s">
        <v>1279</v>
      </c>
      <c r="K182" s="1" t="s">
        <v>1280</v>
      </c>
      <c r="L182" s="1"/>
      <c r="M182" s="1" t="s">
        <v>1272</v>
      </c>
      <c r="N182" s="1" t="s">
        <v>416</v>
      </c>
      <c r="O182" s="1">
        <v>9</v>
      </c>
      <c r="P182" s="1" t="s">
        <v>528</v>
      </c>
      <c r="Q182" s="1" t="s">
        <v>295</v>
      </c>
      <c r="R182" s="1" t="s">
        <v>370</v>
      </c>
      <c r="S182" s="1" t="s">
        <v>415</v>
      </c>
      <c r="T182" s="1" t="s">
        <v>23</v>
      </c>
      <c r="U182" s="1" t="s">
        <v>827</v>
      </c>
      <c r="V182" s="1" t="s">
        <v>1278</v>
      </c>
      <c r="W182" s="1" t="s">
        <v>1279</v>
      </c>
      <c r="X182" s="1" t="s">
        <v>1280</v>
      </c>
      <c r="Y182" s="1"/>
    </row>
    <row r="183" spans="1:25" ht="42.75" hidden="1">
      <c r="A183" s="1" t="s">
        <v>1281</v>
      </c>
      <c r="B183" s="1" t="s">
        <v>294</v>
      </c>
      <c r="C183" s="1" t="s">
        <v>448</v>
      </c>
      <c r="D183" s="1" t="s">
        <v>27</v>
      </c>
      <c r="E183" s="1" t="s">
        <v>449</v>
      </c>
      <c r="F183" s="1" t="s">
        <v>528</v>
      </c>
      <c r="G183" s="1" t="s">
        <v>833</v>
      </c>
      <c r="H183" s="1" t="s">
        <v>1282</v>
      </c>
      <c r="I183" s="1" t="s">
        <v>1283</v>
      </c>
      <c r="J183" s="1" t="s">
        <v>1284</v>
      </c>
      <c r="K183" s="1" t="s">
        <v>1285</v>
      </c>
      <c r="L183" s="1"/>
      <c r="M183" s="1" t="s">
        <v>1272</v>
      </c>
      <c r="N183" s="1" t="s">
        <v>416</v>
      </c>
      <c r="O183" s="1">
        <v>10</v>
      </c>
      <c r="P183" s="1" t="s">
        <v>528</v>
      </c>
      <c r="Q183" s="1" t="s">
        <v>295</v>
      </c>
      <c r="R183" s="1" t="s">
        <v>370</v>
      </c>
      <c r="S183" s="1" t="s">
        <v>415</v>
      </c>
      <c r="T183" s="1" t="s">
        <v>23</v>
      </c>
      <c r="U183" s="1" t="s">
        <v>833</v>
      </c>
      <c r="V183" s="1" t="s">
        <v>1283</v>
      </c>
      <c r="W183" s="1" t="s">
        <v>1284</v>
      </c>
      <c r="X183" s="1" t="s">
        <v>1285</v>
      </c>
      <c r="Y183" s="1"/>
    </row>
    <row r="184" spans="1:25" ht="42.75" hidden="1">
      <c r="A184" s="1" t="s">
        <v>1286</v>
      </c>
      <c r="B184" s="1" t="s">
        <v>322</v>
      </c>
      <c r="C184" s="1" t="s">
        <v>448</v>
      </c>
      <c r="D184" s="1" t="s">
        <v>27</v>
      </c>
      <c r="E184" s="1" t="s">
        <v>449</v>
      </c>
      <c r="F184" s="1" t="s">
        <v>528</v>
      </c>
      <c r="G184" s="1" t="s">
        <v>451</v>
      </c>
      <c r="H184" s="1" t="s">
        <v>1287</v>
      </c>
      <c r="I184" s="1" t="s">
        <v>1288</v>
      </c>
      <c r="J184" s="1" t="s">
        <v>999</v>
      </c>
      <c r="K184" s="1" t="s">
        <v>1289</v>
      </c>
      <c r="L184" s="1"/>
      <c r="M184" s="1" t="s">
        <v>1272</v>
      </c>
      <c r="N184" s="1" t="s">
        <v>416</v>
      </c>
      <c r="O184" s="1">
        <v>11</v>
      </c>
      <c r="P184" s="1" t="s">
        <v>528</v>
      </c>
      <c r="Q184" s="1" t="s">
        <v>295</v>
      </c>
      <c r="R184" s="1" t="s">
        <v>370</v>
      </c>
      <c r="S184" s="1" t="s">
        <v>415</v>
      </c>
      <c r="T184" s="1" t="s">
        <v>23</v>
      </c>
      <c r="U184" s="1" t="s">
        <v>451</v>
      </c>
      <c r="V184" s="1" t="s">
        <v>1288</v>
      </c>
      <c r="W184" s="1" t="s">
        <v>999</v>
      </c>
      <c r="X184" s="1" t="s">
        <v>1289</v>
      </c>
      <c r="Y184" s="1"/>
    </row>
    <row r="185" spans="1:25" ht="42.75" hidden="1">
      <c r="A185" s="1" t="s">
        <v>1290</v>
      </c>
      <c r="B185" s="1" t="s">
        <v>322</v>
      </c>
      <c r="C185" s="1" t="s">
        <v>448</v>
      </c>
      <c r="D185" s="1" t="s">
        <v>27</v>
      </c>
      <c r="E185" s="1" t="s">
        <v>449</v>
      </c>
      <c r="F185" s="1" t="s">
        <v>528</v>
      </c>
      <c r="G185" s="1" t="s">
        <v>458</v>
      </c>
      <c r="H185" s="1" t="s">
        <v>1291</v>
      </c>
      <c r="I185" s="1" t="s">
        <v>1292</v>
      </c>
      <c r="J185" s="1" t="s">
        <v>1293</v>
      </c>
      <c r="K185" s="1" t="s">
        <v>462</v>
      </c>
      <c r="L185" s="1"/>
      <c r="M185" s="1" t="s">
        <v>1272</v>
      </c>
      <c r="N185" s="1" t="s">
        <v>416</v>
      </c>
      <c r="O185" s="1">
        <v>12</v>
      </c>
      <c r="P185" s="1" t="s">
        <v>528</v>
      </c>
      <c r="Q185" s="1" t="s">
        <v>295</v>
      </c>
      <c r="R185" s="1" t="s">
        <v>370</v>
      </c>
      <c r="S185" s="1" t="s">
        <v>415</v>
      </c>
      <c r="T185" s="1" t="s">
        <v>23</v>
      </c>
      <c r="U185" s="1" t="s">
        <v>458</v>
      </c>
      <c r="V185" s="1" t="s">
        <v>1292</v>
      </c>
      <c r="W185" s="1" t="s">
        <v>1293</v>
      </c>
      <c r="X185" s="1" t="s">
        <v>462</v>
      </c>
      <c r="Y185" s="1"/>
    </row>
    <row r="186" spans="1:25" ht="42.75" hidden="1">
      <c r="A186" s="1" t="s">
        <v>1294</v>
      </c>
      <c r="B186" s="1" t="s">
        <v>322</v>
      </c>
      <c r="C186" s="1" t="s">
        <v>448</v>
      </c>
      <c r="D186" s="1" t="s">
        <v>27</v>
      </c>
      <c r="E186" s="1" t="s">
        <v>449</v>
      </c>
      <c r="F186" s="1" t="s">
        <v>528</v>
      </c>
      <c r="G186" s="1" t="s">
        <v>464</v>
      </c>
      <c r="H186" s="1" t="s">
        <v>1295</v>
      </c>
      <c r="I186" s="1" t="s">
        <v>1296</v>
      </c>
      <c r="J186" s="1" t="s">
        <v>1297</v>
      </c>
      <c r="K186" s="1" t="s">
        <v>1298</v>
      </c>
      <c r="L186" s="1"/>
      <c r="M186" s="1" t="s">
        <v>1272</v>
      </c>
      <c r="N186" s="1" t="s">
        <v>416</v>
      </c>
      <c r="O186" s="1">
        <v>13</v>
      </c>
      <c r="P186" s="1" t="s">
        <v>528</v>
      </c>
      <c r="Q186" s="1" t="s">
        <v>295</v>
      </c>
      <c r="R186" s="1" t="s">
        <v>370</v>
      </c>
      <c r="S186" s="1" t="s">
        <v>415</v>
      </c>
      <c r="T186" s="1" t="s">
        <v>23</v>
      </c>
      <c r="U186" s="1" t="s">
        <v>464</v>
      </c>
      <c r="V186" s="1" t="s">
        <v>1296</v>
      </c>
      <c r="W186" s="1" t="s">
        <v>1297</v>
      </c>
      <c r="X186" s="1" t="s">
        <v>1298</v>
      </c>
      <c r="Y186" s="1"/>
    </row>
    <row r="187" spans="1:25" ht="28.5">
      <c r="A187" s="1" t="s">
        <v>1299</v>
      </c>
      <c r="B187" s="1" t="s">
        <v>219</v>
      </c>
      <c r="C187" s="1" t="s">
        <v>448</v>
      </c>
      <c r="D187" s="1" t="s">
        <v>27</v>
      </c>
      <c r="E187" s="1" t="s">
        <v>449</v>
      </c>
      <c r="F187" s="1" t="s">
        <v>450</v>
      </c>
      <c r="G187" s="1" t="s">
        <v>701</v>
      </c>
      <c r="H187" s="1" t="s">
        <v>1300</v>
      </c>
      <c r="I187" s="1" t="s">
        <v>1301</v>
      </c>
      <c r="J187" s="1" t="s">
        <v>415</v>
      </c>
      <c r="K187" s="1"/>
      <c r="L187" s="1"/>
      <c r="M187" s="1"/>
      <c r="N187" s="1" t="s">
        <v>220</v>
      </c>
      <c r="O187" s="1">
        <v>7</v>
      </c>
      <c r="P187" s="1" t="s">
        <v>450</v>
      </c>
      <c r="Q187" s="1" t="s">
        <v>220</v>
      </c>
      <c r="R187" s="1" t="s">
        <v>370</v>
      </c>
      <c r="S187" s="1" t="s">
        <v>403</v>
      </c>
      <c r="T187" s="1" t="s">
        <v>23</v>
      </c>
      <c r="U187" s="1" t="s">
        <v>701</v>
      </c>
      <c r="V187" s="1" t="s">
        <v>1301</v>
      </c>
      <c r="W187" s="1" t="s">
        <v>415</v>
      </c>
      <c r="X187" s="1"/>
      <c r="Y187" s="1"/>
    </row>
    <row r="188" spans="1:25" ht="28.5">
      <c r="A188" s="1" t="s">
        <v>1302</v>
      </c>
      <c r="B188" s="1" t="s">
        <v>219</v>
      </c>
      <c r="C188" s="1" t="s">
        <v>448</v>
      </c>
      <c r="D188" s="1" t="s">
        <v>27</v>
      </c>
      <c r="E188" s="1" t="s">
        <v>449</v>
      </c>
      <c r="F188" s="1" t="s">
        <v>450</v>
      </c>
      <c r="G188" s="1" t="s">
        <v>707</v>
      </c>
      <c r="H188" s="1" t="s">
        <v>1303</v>
      </c>
      <c r="I188" s="1" t="s">
        <v>1304</v>
      </c>
      <c r="J188" s="1" t="s">
        <v>1305</v>
      </c>
      <c r="K188" s="1" t="s">
        <v>636</v>
      </c>
      <c r="L188" s="1"/>
      <c r="M188" s="1"/>
      <c r="N188" s="1" t="s">
        <v>220</v>
      </c>
      <c r="O188" s="1">
        <v>8</v>
      </c>
      <c r="P188" s="1" t="s">
        <v>450</v>
      </c>
      <c r="Q188" s="1" t="s">
        <v>220</v>
      </c>
      <c r="R188" s="1" t="s">
        <v>370</v>
      </c>
      <c r="S188" s="1" t="s">
        <v>403</v>
      </c>
      <c r="T188" s="1" t="s">
        <v>23</v>
      </c>
      <c r="U188" s="1" t="s">
        <v>707</v>
      </c>
      <c r="V188" s="1" t="s">
        <v>1304</v>
      </c>
      <c r="W188" s="1" t="s">
        <v>1305</v>
      </c>
      <c r="X188" s="1" t="s">
        <v>636</v>
      </c>
      <c r="Y188" s="1"/>
    </row>
    <row r="189" spans="1:25" ht="28.5">
      <c r="A189" s="1" t="s">
        <v>1306</v>
      </c>
      <c r="B189" s="1" t="s">
        <v>219</v>
      </c>
      <c r="C189" s="1" t="s">
        <v>448</v>
      </c>
      <c r="D189" s="1" t="s">
        <v>27</v>
      </c>
      <c r="E189" s="1" t="s">
        <v>449</v>
      </c>
      <c r="F189" s="1" t="s">
        <v>450</v>
      </c>
      <c r="G189" s="1" t="s">
        <v>713</v>
      </c>
      <c r="H189" s="1" t="s">
        <v>1307</v>
      </c>
      <c r="I189" s="1" t="s">
        <v>1308</v>
      </c>
      <c r="J189" s="1" t="s">
        <v>1309</v>
      </c>
      <c r="K189" s="1" t="s">
        <v>1310</v>
      </c>
      <c r="L189" s="1"/>
      <c r="M189" s="1"/>
      <c r="N189" s="1" t="s">
        <v>220</v>
      </c>
      <c r="O189" s="1">
        <v>9</v>
      </c>
      <c r="P189" s="1" t="s">
        <v>450</v>
      </c>
      <c r="Q189" s="1" t="s">
        <v>220</v>
      </c>
      <c r="R189" s="1" t="s">
        <v>370</v>
      </c>
      <c r="S189" s="1" t="s">
        <v>403</v>
      </c>
      <c r="T189" s="1" t="s">
        <v>23</v>
      </c>
      <c r="U189" s="1" t="s">
        <v>713</v>
      </c>
      <c r="V189" s="1" t="s">
        <v>1308</v>
      </c>
      <c r="W189" s="1" t="s">
        <v>1309</v>
      </c>
      <c r="X189" s="1" t="s">
        <v>1310</v>
      </c>
      <c r="Y189" s="1"/>
    </row>
    <row r="190" spans="1:25" ht="28.5">
      <c r="A190" s="1" t="s">
        <v>1311</v>
      </c>
      <c r="B190" s="1" t="s">
        <v>219</v>
      </c>
      <c r="C190" s="1" t="s">
        <v>448</v>
      </c>
      <c r="D190" s="1" t="s">
        <v>27</v>
      </c>
      <c r="E190" s="1" t="s">
        <v>449</v>
      </c>
      <c r="F190" s="1" t="s">
        <v>450</v>
      </c>
      <c r="G190" s="1" t="s">
        <v>719</v>
      </c>
      <c r="H190" s="1" t="s">
        <v>1312</v>
      </c>
      <c r="I190" s="1" t="s">
        <v>1313</v>
      </c>
      <c r="J190" s="1" t="s">
        <v>1314</v>
      </c>
      <c r="K190" s="1" t="s">
        <v>1315</v>
      </c>
      <c r="L190" s="1"/>
      <c r="M190" s="1"/>
      <c r="N190" s="1" t="s">
        <v>220</v>
      </c>
      <c r="O190" s="1">
        <v>10</v>
      </c>
      <c r="P190" s="1" t="s">
        <v>450</v>
      </c>
      <c r="Q190" s="1" t="s">
        <v>220</v>
      </c>
      <c r="R190" s="1" t="s">
        <v>370</v>
      </c>
      <c r="S190" s="1" t="s">
        <v>403</v>
      </c>
      <c r="T190" s="1" t="s">
        <v>23</v>
      </c>
      <c r="U190" s="1" t="s">
        <v>719</v>
      </c>
      <c r="V190" s="1" t="s">
        <v>1313</v>
      </c>
      <c r="W190" s="1" t="s">
        <v>1314</v>
      </c>
      <c r="X190" s="1" t="s">
        <v>1315</v>
      </c>
      <c r="Y190" s="1"/>
    </row>
    <row r="191" spans="1:25" ht="71.25">
      <c r="A191" s="1" t="s">
        <v>1316</v>
      </c>
      <c r="B191" s="1" t="s">
        <v>219</v>
      </c>
      <c r="C191" s="1" t="s">
        <v>448</v>
      </c>
      <c r="D191" s="1" t="s">
        <v>27</v>
      </c>
      <c r="E191" s="1" t="s">
        <v>449</v>
      </c>
      <c r="F191" s="1" t="s">
        <v>450</v>
      </c>
      <c r="G191" s="1" t="s">
        <v>811</v>
      </c>
      <c r="H191" s="1" t="s">
        <v>1317</v>
      </c>
      <c r="I191" s="1" t="s">
        <v>1318</v>
      </c>
      <c r="J191" s="1" t="s">
        <v>1314</v>
      </c>
      <c r="K191" s="1" t="s">
        <v>1319</v>
      </c>
      <c r="L191" s="1"/>
      <c r="M191" s="1"/>
      <c r="N191" s="1" t="s">
        <v>220</v>
      </c>
      <c r="O191" s="1">
        <v>11</v>
      </c>
      <c r="P191" s="1" t="s">
        <v>450</v>
      </c>
      <c r="Q191" s="1" t="s">
        <v>220</v>
      </c>
      <c r="R191" s="1" t="s">
        <v>370</v>
      </c>
      <c r="S191" s="1" t="s">
        <v>403</v>
      </c>
      <c r="T191" s="1" t="s">
        <v>23</v>
      </c>
      <c r="U191" s="1" t="s">
        <v>811</v>
      </c>
      <c r="V191" s="1" t="s">
        <v>1318</v>
      </c>
      <c r="W191" s="1" t="s">
        <v>1314</v>
      </c>
      <c r="X191" s="1" t="s">
        <v>1319</v>
      </c>
      <c r="Y191" s="1"/>
    </row>
    <row r="192" spans="1:25" ht="28.5">
      <c r="A192" s="1" t="s">
        <v>1320</v>
      </c>
      <c r="B192" s="1" t="s">
        <v>219</v>
      </c>
      <c r="C192" s="1" t="s">
        <v>448</v>
      </c>
      <c r="D192" s="1" t="s">
        <v>27</v>
      </c>
      <c r="E192" s="1" t="s">
        <v>449</v>
      </c>
      <c r="F192" s="1" t="s">
        <v>450</v>
      </c>
      <c r="G192" s="1" t="s">
        <v>827</v>
      </c>
      <c r="H192" s="1" t="s">
        <v>1321</v>
      </c>
      <c r="I192" s="1" t="s">
        <v>1322</v>
      </c>
      <c r="J192" s="1" t="s">
        <v>753</v>
      </c>
      <c r="K192" s="1" t="s">
        <v>1323</v>
      </c>
      <c r="L192" s="1"/>
      <c r="M192" s="1"/>
      <c r="N192" s="1" t="s">
        <v>220</v>
      </c>
      <c r="O192" s="1">
        <v>12</v>
      </c>
      <c r="P192" s="1" t="s">
        <v>450</v>
      </c>
      <c r="Q192" s="1" t="s">
        <v>220</v>
      </c>
      <c r="R192" s="1" t="s">
        <v>370</v>
      </c>
      <c r="S192" s="1" t="s">
        <v>403</v>
      </c>
      <c r="T192" s="1" t="s">
        <v>23</v>
      </c>
      <c r="U192" s="1" t="s">
        <v>827</v>
      </c>
      <c r="V192" s="1" t="s">
        <v>1322</v>
      </c>
      <c r="W192" s="1" t="s">
        <v>753</v>
      </c>
      <c r="X192" s="1" t="s">
        <v>1323</v>
      </c>
      <c r="Y192" s="1"/>
    </row>
    <row r="193" spans="1:25" ht="42.75">
      <c r="A193" s="1" t="s">
        <v>1324</v>
      </c>
      <c r="B193" s="1" t="s">
        <v>219</v>
      </c>
      <c r="C193" s="1" t="s">
        <v>448</v>
      </c>
      <c r="D193" s="1" t="s">
        <v>27</v>
      </c>
      <c r="E193" s="1" t="s">
        <v>449</v>
      </c>
      <c r="F193" s="1" t="s">
        <v>450</v>
      </c>
      <c r="G193" s="1" t="s">
        <v>833</v>
      </c>
      <c r="H193" s="1" t="s">
        <v>1325</v>
      </c>
      <c r="I193" s="1" t="s">
        <v>1326</v>
      </c>
      <c r="J193" s="1" t="s">
        <v>1327</v>
      </c>
      <c r="K193" s="1" t="s">
        <v>1328</v>
      </c>
      <c r="L193" s="1"/>
      <c r="M193" s="1"/>
      <c r="N193" s="1" t="s">
        <v>220</v>
      </c>
      <c r="O193" s="1">
        <v>13</v>
      </c>
      <c r="P193" s="1" t="s">
        <v>450</v>
      </c>
      <c r="Q193" s="1" t="s">
        <v>220</v>
      </c>
      <c r="R193" s="1" t="s">
        <v>370</v>
      </c>
      <c r="S193" s="1" t="s">
        <v>403</v>
      </c>
      <c r="T193" s="1" t="s">
        <v>23</v>
      </c>
      <c r="U193" s="1" t="s">
        <v>833</v>
      </c>
      <c r="V193" s="1" t="s">
        <v>1326</v>
      </c>
      <c r="W193" s="1" t="s">
        <v>1327</v>
      </c>
      <c r="X193" s="1" t="s">
        <v>1328</v>
      </c>
      <c r="Y193" s="1"/>
    </row>
    <row r="194" spans="1:25" ht="42.75">
      <c r="A194" s="1" t="s">
        <v>1329</v>
      </c>
      <c r="B194" s="1" t="s">
        <v>250</v>
      </c>
      <c r="C194" s="1" t="s">
        <v>448</v>
      </c>
      <c r="D194" s="1" t="s">
        <v>27</v>
      </c>
      <c r="E194" s="1" t="s">
        <v>449</v>
      </c>
      <c r="F194" s="1" t="s">
        <v>450</v>
      </c>
      <c r="G194" s="1" t="s">
        <v>470</v>
      </c>
      <c r="H194" s="1" t="s">
        <v>1330</v>
      </c>
      <c r="I194" s="1" t="s">
        <v>1331</v>
      </c>
      <c r="J194" s="1" t="s">
        <v>1332</v>
      </c>
      <c r="K194" s="1" t="s">
        <v>1333</v>
      </c>
      <c r="L194" s="1"/>
      <c r="M194" s="1"/>
      <c r="N194" s="1" t="s">
        <v>220</v>
      </c>
      <c r="O194" s="1">
        <v>14</v>
      </c>
      <c r="P194" s="1" t="s">
        <v>450</v>
      </c>
      <c r="Q194" s="1" t="s">
        <v>220</v>
      </c>
      <c r="R194" s="1" t="s">
        <v>370</v>
      </c>
      <c r="S194" s="1" t="s">
        <v>403</v>
      </c>
      <c r="T194" s="1" t="s">
        <v>23</v>
      </c>
      <c r="U194" s="1" t="s">
        <v>470</v>
      </c>
      <c r="V194" s="1" t="s">
        <v>1331</v>
      </c>
      <c r="W194" s="1" t="s">
        <v>1332</v>
      </c>
      <c r="X194" s="1" t="s">
        <v>1333</v>
      </c>
      <c r="Y194" s="1"/>
    </row>
    <row r="195" spans="1:25" ht="28.5">
      <c r="A195" s="1" t="s">
        <v>1334</v>
      </c>
      <c r="B195" s="1" t="s">
        <v>250</v>
      </c>
      <c r="C195" s="1" t="s">
        <v>448</v>
      </c>
      <c r="D195" s="1" t="s">
        <v>27</v>
      </c>
      <c r="E195" s="1" t="s">
        <v>449</v>
      </c>
      <c r="F195" s="1" t="s">
        <v>450</v>
      </c>
      <c r="G195" s="1" t="s">
        <v>475</v>
      </c>
      <c r="H195" s="1" t="s">
        <v>1335</v>
      </c>
      <c r="I195" s="1" t="s">
        <v>1336</v>
      </c>
      <c r="J195" s="1" t="s">
        <v>1337</v>
      </c>
      <c r="K195" s="1" t="s">
        <v>1338</v>
      </c>
      <c r="L195" s="1"/>
      <c r="M195" s="1"/>
      <c r="N195" s="1" t="s">
        <v>220</v>
      </c>
      <c r="O195" s="1">
        <v>15</v>
      </c>
      <c r="P195" s="1" t="s">
        <v>450</v>
      </c>
      <c r="Q195" s="1" t="s">
        <v>220</v>
      </c>
      <c r="R195" s="1" t="s">
        <v>370</v>
      </c>
      <c r="S195" s="1" t="s">
        <v>403</v>
      </c>
      <c r="T195" s="1" t="s">
        <v>23</v>
      </c>
      <c r="U195" s="1" t="s">
        <v>475</v>
      </c>
      <c r="V195" s="1" t="s">
        <v>1336</v>
      </c>
      <c r="W195" s="1" t="s">
        <v>1337</v>
      </c>
      <c r="X195" s="1" t="s">
        <v>1338</v>
      </c>
      <c r="Y195" s="1"/>
    </row>
    <row r="196" spans="1:25" ht="28.5">
      <c r="A196" s="1" t="s">
        <v>1339</v>
      </c>
      <c r="B196" s="1" t="s">
        <v>250</v>
      </c>
      <c r="C196" s="1" t="s">
        <v>448</v>
      </c>
      <c r="D196" s="1" t="s">
        <v>27</v>
      </c>
      <c r="E196" s="1" t="s">
        <v>449</v>
      </c>
      <c r="F196" s="1" t="s">
        <v>450</v>
      </c>
      <c r="G196" s="1" t="s">
        <v>481</v>
      </c>
      <c r="H196" s="1" t="s">
        <v>1340</v>
      </c>
      <c r="I196" s="1" t="s">
        <v>1341</v>
      </c>
      <c r="J196" s="1" t="s">
        <v>1342</v>
      </c>
      <c r="K196" s="1"/>
      <c r="L196" s="1"/>
      <c r="M196" s="1"/>
      <c r="N196" s="1" t="s">
        <v>220</v>
      </c>
      <c r="O196" s="1">
        <v>16</v>
      </c>
      <c r="P196" s="1" t="s">
        <v>450</v>
      </c>
      <c r="Q196" s="1" t="s">
        <v>220</v>
      </c>
      <c r="R196" s="1" t="s">
        <v>370</v>
      </c>
      <c r="S196" s="1" t="s">
        <v>403</v>
      </c>
      <c r="T196" s="1" t="s">
        <v>23</v>
      </c>
      <c r="U196" s="1" t="s">
        <v>481</v>
      </c>
      <c r="V196" s="1" t="s">
        <v>1341</v>
      </c>
      <c r="W196" s="1" t="s">
        <v>1342</v>
      </c>
      <c r="X196" s="1"/>
      <c r="Y196" s="1"/>
    </row>
    <row r="197" spans="1:25" ht="28.5">
      <c r="A197" s="1" t="s">
        <v>1343</v>
      </c>
      <c r="B197" s="1" t="s">
        <v>250</v>
      </c>
      <c r="C197" s="1" t="s">
        <v>448</v>
      </c>
      <c r="D197" s="1" t="s">
        <v>27</v>
      </c>
      <c r="E197" s="1" t="s">
        <v>449</v>
      </c>
      <c r="F197" s="1" t="s">
        <v>450</v>
      </c>
      <c r="G197" s="1" t="s">
        <v>641</v>
      </c>
      <c r="H197" s="1" t="s">
        <v>1344</v>
      </c>
      <c r="I197" s="1" t="s">
        <v>1345</v>
      </c>
      <c r="J197" s="1" t="s">
        <v>1346</v>
      </c>
      <c r="K197" s="1"/>
      <c r="L197" s="1"/>
      <c r="M197" s="1"/>
      <c r="N197" s="1" t="s">
        <v>220</v>
      </c>
      <c r="O197" s="1">
        <v>17</v>
      </c>
      <c r="P197" s="1" t="s">
        <v>450</v>
      </c>
      <c r="Q197" s="1" t="s">
        <v>220</v>
      </c>
      <c r="R197" s="1" t="s">
        <v>370</v>
      </c>
      <c r="S197" s="1" t="s">
        <v>403</v>
      </c>
      <c r="T197" s="1" t="s">
        <v>23</v>
      </c>
      <c r="U197" s="1" t="s">
        <v>641</v>
      </c>
      <c r="V197" s="1" t="s">
        <v>1345</v>
      </c>
      <c r="W197" s="1" t="s">
        <v>1346</v>
      </c>
      <c r="X197" s="1"/>
      <c r="Y197" s="1"/>
    </row>
    <row r="198" spans="1:25" ht="28.5">
      <c r="A198" s="1" t="s">
        <v>1347</v>
      </c>
      <c r="B198" s="1" t="s">
        <v>250</v>
      </c>
      <c r="C198" s="1" t="s">
        <v>448</v>
      </c>
      <c r="D198" s="1" t="s">
        <v>27</v>
      </c>
      <c r="E198" s="1" t="s">
        <v>449</v>
      </c>
      <c r="F198" s="1" t="s">
        <v>450</v>
      </c>
      <c r="G198" s="1" t="s">
        <v>645</v>
      </c>
      <c r="H198" s="1" t="s">
        <v>1348</v>
      </c>
      <c r="I198" s="1" t="s">
        <v>1349</v>
      </c>
      <c r="J198" s="1" t="s">
        <v>1350</v>
      </c>
      <c r="K198" s="1" t="s">
        <v>1351</v>
      </c>
      <c r="L198" s="1"/>
      <c r="M198" s="1"/>
      <c r="N198" s="1" t="s">
        <v>220</v>
      </c>
      <c r="O198" s="1">
        <v>18</v>
      </c>
      <c r="P198" s="1" t="s">
        <v>450</v>
      </c>
      <c r="Q198" s="1" t="s">
        <v>220</v>
      </c>
      <c r="R198" s="1" t="s">
        <v>370</v>
      </c>
      <c r="S198" s="1" t="s">
        <v>403</v>
      </c>
      <c r="T198" s="1" t="s">
        <v>23</v>
      </c>
      <c r="U198" s="1" t="s">
        <v>645</v>
      </c>
      <c r="V198" s="1" t="s">
        <v>1349</v>
      </c>
      <c r="W198" s="1" t="s">
        <v>1350</v>
      </c>
      <c r="X198" s="1" t="s">
        <v>1351</v>
      </c>
      <c r="Y198" s="1"/>
    </row>
    <row r="199" spans="1:25" ht="28.5">
      <c r="A199" s="1" t="s">
        <v>1352</v>
      </c>
      <c r="B199" s="1" t="s">
        <v>250</v>
      </c>
      <c r="C199" s="1" t="s">
        <v>448</v>
      </c>
      <c r="D199" s="1" t="s">
        <v>27</v>
      </c>
      <c r="E199" s="1" t="s">
        <v>449</v>
      </c>
      <c r="F199" s="1" t="s">
        <v>450</v>
      </c>
      <c r="G199" s="1" t="s">
        <v>873</v>
      </c>
      <c r="H199" s="1" t="s">
        <v>1353</v>
      </c>
      <c r="I199" s="1" t="s">
        <v>1354</v>
      </c>
      <c r="J199" s="1" t="s">
        <v>1355</v>
      </c>
      <c r="K199" s="1"/>
      <c r="L199" s="1"/>
      <c r="M199" s="1"/>
      <c r="N199" s="1" t="s">
        <v>220</v>
      </c>
      <c r="O199" s="1">
        <v>18</v>
      </c>
      <c r="P199" s="1" t="s">
        <v>450</v>
      </c>
      <c r="Q199" s="1" t="s">
        <v>220</v>
      </c>
      <c r="R199" s="1" t="s">
        <v>370</v>
      </c>
      <c r="S199" s="1" t="s">
        <v>403</v>
      </c>
      <c r="T199" s="1" t="s">
        <v>23</v>
      </c>
      <c r="U199" s="1" t="s">
        <v>873</v>
      </c>
      <c r="V199" s="1" t="s">
        <v>1354</v>
      </c>
      <c r="W199" s="1" t="s">
        <v>1355</v>
      </c>
      <c r="X199" s="1"/>
      <c r="Y199" s="1"/>
    </row>
    <row r="200" spans="1:25" ht="57" hidden="1">
      <c r="A200" s="1" t="s">
        <v>1356</v>
      </c>
      <c r="B200" s="1" t="s">
        <v>201</v>
      </c>
      <c r="C200" s="1" t="s">
        <v>448</v>
      </c>
      <c r="D200" s="1" t="s">
        <v>27</v>
      </c>
      <c r="E200" s="1" t="s">
        <v>449</v>
      </c>
      <c r="F200" s="1" t="s">
        <v>450</v>
      </c>
      <c r="G200" s="1" t="s">
        <v>553</v>
      </c>
      <c r="H200" s="1" t="s">
        <v>1357</v>
      </c>
      <c r="I200" s="1" t="s">
        <v>1358</v>
      </c>
      <c r="J200" s="1" t="s">
        <v>1359</v>
      </c>
      <c r="K200" s="1" t="s">
        <v>1360</v>
      </c>
      <c r="L200" s="1"/>
      <c r="M200" s="1"/>
      <c r="N200" s="1" t="s">
        <v>202</v>
      </c>
      <c r="O200" s="1">
        <v>7</v>
      </c>
      <c r="P200" s="1" t="s">
        <v>450</v>
      </c>
      <c r="Q200" s="1" t="s">
        <v>202</v>
      </c>
      <c r="R200" s="1" t="s">
        <v>375</v>
      </c>
      <c r="S200" s="1"/>
      <c r="T200" s="1" t="s">
        <v>33</v>
      </c>
      <c r="U200" s="1" t="s">
        <v>553</v>
      </c>
      <c r="V200" s="1" t="s">
        <v>1358</v>
      </c>
      <c r="W200" s="1" t="s">
        <v>1359</v>
      </c>
      <c r="X200" s="1" t="s">
        <v>1360</v>
      </c>
      <c r="Y200" s="1"/>
    </row>
    <row r="201" spans="1:25" ht="28.5" hidden="1">
      <c r="A201" s="1" t="s">
        <v>1361</v>
      </c>
      <c r="B201" s="1" t="s">
        <v>201</v>
      </c>
      <c r="C201" s="1" t="s">
        <v>448</v>
      </c>
      <c r="D201" s="1" t="s">
        <v>27</v>
      </c>
      <c r="E201" s="1" t="s">
        <v>449</v>
      </c>
      <c r="F201" s="1" t="s">
        <v>450</v>
      </c>
      <c r="G201" s="1" t="s">
        <v>559</v>
      </c>
      <c r="H201" s="1" t="s">
        <v>1362</v>
      </c>
      <c r="I201" s="1" t="s">
        <v>1363</v>
      </c>
      <c r="J201" s="1" t="s">
        <v>1364</v>
      </c>
      <c r="K201" s="1" t="s">
        <v>1365</v>
      </c>
      <c r="L201" s="1"/>
      <c r="M201" s="1"/>
      <c r="N201" s="1" t="s">
        <v>202</v>
      </c>
      <c r="O201" s="1">
        <v>8</v>
      </c>
      <c r="P201" s="1" t="s">
        <v>450</v>
      </c>
      <c r="Q201" s="1" t="s">
        <v>202</v>
      </c>
      <c r="R201" s="1" t="s">
        <v>375</v>
      </c>
      <c r="S201" s="1"/>
      <c r="T201" s="1" t="s">
        <v>33</v>
      </c>
      <c r="U201" s="1" t="s">
        <v>559</v>
      </c>
      <c r="V201" s="1" t="s">
        <v>1363</v>
      </c>
      <c r="W201" s="1" t="s">
        <v>1364</v>
      </c>
      <c r="X201" s="1" t="s">
        <v>1365</v>
      </c>
      <c r="Y201" s="1"/>
    </row>
    <row r="202" spans="1:25" ht="28.5" hidden="1">
      <c r="A202" s="1" t="s">
        <v>1366</v>
      </c>
      <c r="B202" s="1" t="s">
        <v>201</v>
      </c>
      <c r="C202" s="1" t="s">
        <v>448</v>
      </c>
      <c r="D202" s="1" t="s">
        <v>27</v>
      </c>
      <c r="E202" s="1" t="s">
        <v>449</v>
      </c>
      <c r="F202" s="1" t="s">
        <v>450</v>
      </c>
      <c r="G202" s="1" t="s">
        <v>565</v>
      </c>
      <c r="H202" s="1" t="s">
        <v>1367</v>
      </c>
      <c r="I202" s="1" t="s">
        <v>1368</v>
      </c>
      <c r="J202" s="1" t="s">
        <v>1369</v>
      </c>
      <c r="K202" s="1" t="s">
        <v>1370</v>
      </c>
      <c r="L202" s="1"/>
      <c r="M202" s="1"/>
      <c r="N202" s="1" t="s">
        <v>202</v>
      </c>
      <c r="O202" s="1">
        <v>9</v>
      </c>
      <c r="P202" s="1" t="s">
        <v>450</v>
      </c>
      <c r="Q202" s="1" t="s">
        <v>202</v>
      </c>
      <c r="R202" s="1" t="s">
        <v>375</v>
      </c>
      <c r="S202" s="1"/>
      <c r="T202" s="1" t="s">
        <v>33</v>
      </c>
      <c r="U202" s="1" t="s">
        <v>565</v>
      </c>
      <c r="V202" s="1" t="s">
        <v>1368</v>
      </c>
      <c r="W202" s="1" t="s">
        <v>1369</v>
      </c>
      <c r="X202" s="1" t="s">
        <v>1370</v>
      </c>
      <c r="Y202" s="1"/>
    </row>
    <row r="203" spans="1:25" ht="28.5" hidden="1">
      <c r="A203" s="1" t="s">
        <v>1371</v>
      </c>
      <c r="B203" s="1" t="s">
        <v>201</v>
      </c>
      <c r="C203" s="1" t="s">
        <v>448</v>
      </c>
      <c r="D203" s="1" t="s">
        <v>27</v>
      </c>
      <c r="E203" s="1" t="s">
        <v>449</v>
      </c>
      <c r="F203" s="1" t="s">
        <v>450</v>
      </c>
      <c r="G203" s="1" t="s">
        <v>571</v>
      </c>
      <c r="H203" s="1" t="s">
        <v>1372</v>
      </c>
      <c r="I203" s="1" t="s">
        <v>1373</v>
      </c>
      <c r="J203" s="1" t="s">
        <v>1374</v>
      </c>
      <c r="K203" s="1" t="s">
        <v>1375</v>
      </c>
      <c r="L203" s="1"/>
      <c r="M203" s="1"/>
      <c r="N203" s="1" t="s">
        <v>202</v>
      </c>
      <c r="O203" s="1">
        <v>10</v>
      </c>
      <c r="P203" s="1" t="s">
        <v>450</v>
      </c>
      <c r="Q203" s="1" t="s">
        <v>202</v>
      </c>
      <c r="R203" s="1" t="s">
        <v>375</v>
      </c>
      <c r="S203" s="1"/>
      <c r="T203" s="1" t="s">
        <v>33</v>
      </c>
      <c r="U203" s="1" t="s">
        <v>571</v>
      </c>
      <c r="V203" s="1" t="s">
        <v>1373</v>
      </c>
      <c r="W203" s="1" t="s">
        <v>1374</v>
      </c>
      <c r="X203" s="1" t="s">
        <v>1375</v>
      </c>
      <c r="Y203" s="1"/>
    </row>
    <row r="204" spans="1:25" ht="28.5" hidden="1">
      <c r="A204" s="1" t="s">
        <v>1376</v>
      </c>
      <c r="B204" s="1" t="s">
        <v>223</v>
      </c>
      <c r="C204" s="1" t="s">
        <v>448</v>
      </c>
      <c r="D204" s="1" t="s">
        <v>27</v>
      </c>
      <c r="E204" s="1" t="s">
        <v>449</v>
      </c>
      <c r="F204" s="1" t="s">
        <v>450</v>
      </c>
      <c r="G204" s="1" t="s">
        <v>701</v>
      </c>
      <c r="H204" s="1" t="s">
        <v>1377</v>
      </c>
      <c r="I204" s="1" t="s">
        <v>1378</v>
      </c>
      <c r="J204" s="1" t="s">
        <v>1379</v>
      </c>
      <c r="K204" s="1" t="s">
        <v>1380</v>
      </c>
      <c r="L204" s="1"/>
      <c r="M204" s="1"/>
      <c r="N204" s="1" t="s">
        <v>202</v>
      </c>
      <c r="O204" s="1">
        <v>11</v>
      </c>
      <c r="P204" s="1" t="s">
        <v>450</v>
      </c>
      <c r="Q204" s="1" t="s">
        <v>202</v>
      </c>
      <c r="R204" s="1" t="s">
        <v>375</v>
      </c>
      <c r="S204" s="1"/>
      <c r="T204" s="1" t="s">
        <v>33</v>
      </c>
      <c r="U204" s="1" t="s">
        <v>701</v>
      </c>
      <c r="V204" s="1" t="s">
        <v>1378</v>
      </c>
      <c r="W204" s="1" t="s">
        <v>1379</v>
      </c>
      <c r="X204" s="1" t="s">
        <v>1380</v>
      </c>
      <c r="Y204" s="1"/>
    </row>
    <row r="205" spans="1:25" ht="28.5" hidden="1">
      <c r="A205" s="1" t="s">
        <v>1381</v>
      </c>
      <c r="B205" s="1" t="s">
        <v>223</v>
      </c>
      <c r="C205" s="1" t="s">
        <v>448</v>
      </c>
      <c r="D205" s="1" t="s">
        <v>27</v>
      </c>
      <c r="E205" s="1" t="s">
        <v>449</v>
      </c>
      <c r="F205" s="1" t="s">
        <v>450</v>
      </c>
      <c r="G205" s="1" t="s">
        <v>707</v>
      </c>
      <c r="H205" s="1" t="s">
        <v>1382</v>
      </c>
      <c r="I205" s="1" t="s">
        <v>1383</v>
      </c>
      <c r="J205" s="1" t="s">
        <v>1384</v>
      </c>
      <c r="K205" s="1" t="s">
        <v>1385</v>
      </c>
      <c r="L205" s="1"/>
      <c r="M205" s="1"/>
      <c r="N205" s="1" t="s">
        <v>202</v>
      </c>
      <c r="O205" s="1">
        <v>12</v>
      </c>
      <c r="P205" s="1" t="s">
        <v>450</v>
      </c>
      <c r="Q205" s="1" t="s">
        <v>202</v>
      </c>
      <c r="R205" s="1" t="s">
        <v>375</v>
      </c>
      <c r="S205" s="1"/>
      <c r="T205" s="1" t="s">
        <v>33</v>
      </c>
      <c r="U205" s="1" t="s">
        <v>707</v>
      </c>
      <c r="V205" s="1" t="s">
        <v>1383</v>
      </c>
      <c r="W205" s="1" t="s">
        <v>1384</v>
      </c>
      <c r="X205" s="1" t="s">
        <v>1385</v>
      </c>
      <c r="Y205" s="1"/>
    </row>
    <row r="206" spans="1:25" ht="28.5" hidden="1">
      <c r="A206" s="1" t="s">
        <v>1386</v>
      </c>
      <c r="B206" s="1" t="s">
        <v>223</v>
      </c>
      <c r="C206" s="1" t="s">
        <v>448</v>
      </c>
      <c r="D206" s="1" t="s">
        <v>27</v>
      </c>
      <c r="E206" s="1" t="s">
        <v>449</v>
      </c>
      <c r="F206" s="1" t="s">
        <v>450</v>
      </c>
      <c r="G206" s="1" t="s">
        <v>713</v>
      </c>
      <c r="H206" s="1" t="s">
        <v>1387</v>
      </c>
      <c r="I206" s="1" t="s">
        <v>1388</v>
      </c>
      <c r="J206" s="1" t="s">
        <v>1389</v>
      </c>
      <c r="K206" s="1" t="s">
        <v>1390</v>
      </c>
      <c r="L206" s="1"/>
      <c r="M206" s="1"/>
      <c r="N206" s="1" t="s">
        <v>202</v>
      </c>
      <c r="O206" s="1">
        <v>13</v>
      </c>
      <c r="P206" s="1" t="s">
        <v>450</v>
      </c>
      <c r="Q206" s="1" t="s">
        <v>202</v>
      </c>
      <c r="R206" s="1" t="s">
        <v>375</v>
      </c>
      <c r="S206" s="1"/>
      <c r="T206" s="1" t="s">
        <v>33</v>
      </c>
      <c r="U206" s="1" t="s">
        <v>713</v>
      </c>
      <c r="V206" s="1" t="s">
        <v>1388</v>
      </c>
      <c r="W206" s="1" t="s">
        <v>1389</v>
      </c>
      <c r="X206" s="1" t="s">
        <v>1390</v>
      </c>
      <c r="Y206" s="1"/>
    </row>
    <row r="207" spans="1:25" ht="28.5" hidden="1">
      <c r="A207" s="1" t="s">
        <v>1391</v>
      </c>
      <c r="B207" s="1" t="s">
        <v>223</v>
      </c>
      <c r="C207" s="1" t="s">
        <v>448</v>
      </c>
      <c r="D207" s="1" t="s">
        <v>27</v>
      </c>
      <c r="E207" s="1" t="s">
        <v>449</v>
      </c>
      <c r="F207" s="1" t="s">
        <v>450</v>
      </c>
      <c r="G207" s="1" t="s">
        <v>719</v>
      </c>
      <c r="H207" s="1" t="s">
        <v>1392</v>
      </c>
      <c r="I207" s="1" t="s">
        <v>1393</v>
      </c>
      <c r="J207" s="1" t="s">
        <v>1218</v>
      </c>
      <c r="K207" s="1" t="s">
        <v>1394</v>
      </c>
      <c r="L207" s="1"/>
      <c r="M207" s="1"/>
      <c r="N207" s="1" t="s">
        <v>202</v>
      </c>
      <c r="O207" s="1">
        <v>14</v>
      </c>
      <c r="P207" s="1" t="s">
        <v>450</v>
      </c>
      <c r="Q207" s="1" t="s">
        <v>202</v>
      </c>
      <c r="R207" s="1" t="s">
        <v>375</v>
      </c>
      <c r="S207" s="1"/>
      <c r="T207" s="1" t="s">
        <v>33</v>
      </c>
      <c r="U207" s="1" t="s">
        <v>719</v>
      </c>
      <c r="V207" s="1" t="s">
        <v>1393</v>
      </c>
      <c r="W207" s="1" t="s">
        <v>1218</v>
      </c>
      <c r="X207" s="1" t="s">
        <v>1394</v>
      </c>
      <c r="Y207" s="1"/>
    </row>
    <row r="208" spans="1:25" ht="42.75" hidden="1">
      <c r="A208" s="1" t="s">
        <v>1395</v>
      </c>
      <c r="B208" s="1" t="s">
        <v>223</v>
      </c>
      <c r="C208" s="1" t="s">
        <v>448</v>
      </c>
      <c r="D208" s="1" t="s">
        <v>27</v>
      </c>
      <c r="E208" s="1" t="s">
        <v>449</v>
      </c>
      <c r="F208" s="1" t="s">
        <v>450</v>
      </c>
      <c r="G208" s="1" t="s">
        <v>811</v>
      </c>
      <c r="H208" s="1" t="s">
        <v>1396</v>
      </c>
      <c r="I208" s="1" t="s">
        <v>1397</v>
      </c>
      <c r="J208" s="1" t="s">
        <v>1398</v>
      </c>
      <c r="K208" s="1" t="s">
        <v>1399</v>
      </c>
      <c r="L208" s="1"/>
      <c r="M208" s="1"/>
      <c r="N208" s="1" t="s">
        <v>202</v>
      </c>
      <c r="O208" s="1">
        <v>15</v>
      </c>
      <c r="P208" s="1" t="s">
        <v>450</v>
      </c>
      <c r="Q208" s="1" t="s">
        <v>202</v>
      </c>
      <c r="R208" s="1" t="s">
        <v>375</v>
      </c>
      <c r="S208" s="1"/>
      <c r="T208" s="1" t="s">
        <v>33</v>
      </c>
      <c r="U208" s="1" t="s">
        <v>811</v>
      </c>
      <c r="V208" s="1" t="s">
        <v>1397</v>
      </c>
      <c r="W208" s="1" t="s">
        <v>1398</v>
      </c>
      <c r="X208" s="1" t="s">
        <v>1399</v>
      </c>
      <c r="Y208" s="1"/>
    </row>
    <row r="209" spans="1:25" ht="28.5" hidden="1">
      <c r="A209" s="1" t="s">
        <v>1400</v>
      </c>
      <c r="B209" s="1" t="s">
        <v>223</v>
      </c>
      <c r="C209" s="1" t="s">
        <v>448</v>
      </c>
      <c r="D209" s="1" t="s">
        <v>27</v>
      </c>
      <c r="E209" s="1" t="s">
        <v>449</v>
      </c>
      <c r="F209" s="1" t="s">
        <v>450</v>
      </c>
      <c r="G209" s="1" t="s">
        <v>827</v>
      </c>
      <c r="H209" s="1" t="s">
        <v>1401</v>
      </c>
      <c r="I209" s="1" t="s">
        <v>1402</v>
      </c>
      <c r="J209" s="1" t="s">
        <v>1163</v>
      </c>
      <c r="K209" s="1" t="s">
        <v>1403</v>
      </c>
      <c r="L209" s="1"/>
      <c r="M209" s="1"/>
      <c r="N209" s="1" t="s">
        <v>202</v>
      </c>
      <c r="O209" s="1">
        <v>16</v>
      </c>
      <c r="P209" s="1" t="s">
        <v>450</v>
      </c>
      <c r="Q209" s="1" t="s">
        <v>202</v>
      </c>
      <c r="R209" s="1" t="s">
        <v>375</v>
      </c>
      <c r="S209" s="1"/>
      <c r="T209" s="1" t="s">
        <v>33</v>
      </c>
      <c r="U209" s="1" t="s">
        <v>827</v>
      </c>
      <c r="V209" s="1" t="s">
        <v>1402</v>
      </c>
      <c r="W209" s="1" t="s">
        <v>1163</v>
      </c>
      <c r="X209" s="1" t="s">
        <v>1403</v>
      </c>
      <c r="Y209" s="1"/>
    </row>
    <row r="210" spans="1:25" ht="42.75" hidden="1">
      <c r="A210" s="1" t="s">
        <v>1404</v>
      </c>
      <c r="B210" s="1"/>
      <c r="C210" s="1" t="s">
        <v>487</v>
      </c>
      <c r="D210" s="1" t="s">
        <v>27</v>
      </c>
      <c r="E210" s="1" t="s">
        <v>449</v>
      </c>
      <c r="F210" s="1" t="s">
        <v>488</v>
      </c>
      <c r="G210" s="1"/>
      <c r="H210" s="1" t="s">
        <v>1405</v>
      </c>
      <c r="I210" s="1" t="s">
        <v>1406</v>
      </c>
      <c r="J210" s="1" t="s">
        <v>1407</v>
      </c>
      <c r="K210" s="1" t="s">
        <v>1408</v>
      </c>
      <c r="L210" s="1"/>
      <c r="M210" s="1"/>
      <c r="N210" s="1" t="s">
        <v>202</v>
      </c>
      <c r="O210" s="1">
        <v>23</v>
      </c>
      <c r="P210" s="1" t="s">
        <v>450</v>
      </c>
      <c r="Q210" s="1" t="s">
        <v>202</v>
      </c>
      <c r="R210" s="1" t="s">
        <v>375</v>
      </c>
      <c r="S210" s="1"/>
      <c r="T210" s="1" t="s">
        <v>33</v>
      </c>
      <c r="U210" s="1"/>
      <c r="V210" s="1" t="s">
        <v>1406</v>
      </c>
      <c r="W210" s="1" t="s">
        <v>1407</v>
      </c>
      <c r="X210" s="1" t="s">
        <v>1408</v>
      </c>
      <c r="Y210" s="1"/>
    </row>
    <row r="211" spans="1:25" ht="28.5" hidden="1">
      <c r="A211" s="1" t="s">
        <v>1409</v>
      </c>
      <c r="B211" s="1"/>
      <c r="C211" s="1" t="s">
        <v>487</v>
      </c>
      <c r="D211" s="1" t="s">
        <v>27</v>
      </c>
      <c r="E211" s="1" t="s">
        <v>449</v>
      </c>
      <c r="F211" s="1" t="s">
        <v>488</v>
      </c>
      <c r="G211" s="1"/>
      <c r="H211" s="1" t="s">
        <v>1410</v>
      </c>
      <c r="I211" s="1" t="s">
        <v>1411</v>
      </c>
      <c r="J211" s="1" t="s">
        <v>1412</v>
      </c>
      <c r="K211" s="1" t="s">
        <v>1413</v>
      </c>
      <c r="L211" s="1"/>
      <c r="M211" s="1"/>
      <c r="N211" s="1" t="s">
        <v>202</v>
      </c>
      <c r="O211" s="1">
        <v>24</v>
      </c>
      <c r="P211" s="1" t="s">
        <v>450</v>
      </c>
      <c r="Q211" s="1" t="s">
        <v>202</v>
      </c>
      <c r="R211" s="1" t="s">
        <v>375</v>
      </c>
      <c r="S211" s="1"/>
      <c r="T211" s="1" t="s">
        <v>33</v>
      </c>
      <c r="U211" s="1"/>
      <c r="V211" s="1" t="s">
        <v>1411</v>
      </c>
      <c r="W211" s="1" t="s">
        <v>1412</v>
      </c>
      <c r="X211" s="1" t="s">
        <v>1413</v>
      </c>
      <c r="Y211" s="1"/>
    </row>
    <row r="212" spans="1:25" ht="28.5" hidden="1">
      <c r="A212" s="1" t="s">
        <v>1414</v>
      </c>
      <c r="B212" s="1"/>
      <c r="C212" s="1" t="s">
        <v>487</v>
      </c>
      <c r="D212" s="1" t="s">
        <v>27</v>
      </c>
      <c r="E212" s="1" t="s">
        <v>449</v>
      </c>
      <c r="F212" s="1" t="s">
        <v>488</v>
      </c>
      <c r="G212" s="1"/>
      <c r="H212" s="1" t="s">
        <v>1415</v>
      </c>
      <c r="I212" s="1" t="s">
        <v>1416</v>
      </c>
      <c r="J212" s="1" t="s">
        <v>944</v>
      </c>
      <c r="K212" s="1" t="s">
        <v>1417</v>
      </c>
      <c r="L212" s="1"/>
      <c r="M212" s="1"/>
      <c r="N212" s="1" t="s">
        <v>202</v>
      </c>
      <c r="O212" s="1">
        <v>25</v>
      </c>
      <c r="P212" s="1" t="s">
        <v>450</v>
      </c>
      <c r="Q212" s="1" t="s">
        <v>202</v>
      </c>
      <c r="R212" s="1" t="s">
        <v>375</v>
      </c>
      <c r="S212" s="1"/>
      <c r="T212" s="1" t="s">
        <v>33</v>
      </c>
      <c r="U212" s="1"/>
      <c r="V212" s="1" t="s">
        <v>1416</v>
      </c>
      <c r="W212" s="1" t="s">
        <v>944</v>
      </c>
      <c r="X212" s="1" t="s">
        <v>1417</v>
      </c>
      <c r="Y212" s="1"/>
    </row>
    <row r="213" spans="1:25" ht="28.5" hidden="1">
      <c r="A213" s="1" t="s">
        <v>1418</v>
      </c>
      <c r="B213" s="1" t="s">
        <v>105</v>
      </c>
      <c r="C213" s="1" t="s">
        <v>448</v>
      </c>
      <c r="D213" s="1" t="s">
        <v>27</v>
      </c>
      <c r="E213" s="1" t="s">
        <v>449</v>
      </c>
      <c r="F213" s="1" t="s">
        <v>498</v>
      </c>
      <c r="G213" s="1" t="s">
        <v>547</v>
      </c>
      <c r="H213" s="1" t="s">
        <v>1419</v>
      </c>
      <c r="I213" s="1" t="s">
        <v>1420</v>
      </c>
      <c r="J213" s="1" t="s">
        <v>1421</v>
      </c>
      <c r="K213" s="1" t="s">
        <v>1422</v>
      </c>
      <c r="L213" s="1"/>
      <c r="M213" s="1"/>
      <c r="N213" s="1" t="s">
        <v>377</v>
      </c>
      <c r="O213" s="1">
        <v>8</v>
      </c>
      <c r="P213" s="1" t="s">
        <v>498</v>
      </c>
      <c r="Q213" s="1" t="s">
        <v>106</v>
      </c>
      <c r="R213" s="1" t="s">
        <v>375</v>
      </c>
      <c r="S213" s="1"/>
      <c r="T213" s="1" t="s">
        <v>23</v>
      </c>
      <c r="U213" s="1" t="s">
        <v>547</v>
      </c>
      <c r="V213" s="1" t="s">
        <v>1420</v>
      </c>
      <c r="W213" s="1" t="s">
        <v>1421</v>
      </c>
      <c r="X213" s="1" t="s">
        <v>1422</v>
      </c>
      <c r="Y213" s="1"/>
    </row>
    <row r="214" spans="1:25" ht="42.75" hidden="1">
      <c r="A214" s="1" t="s">
        <v>1423</v>
      </c>
      <c r="B214" s="1" t="s">
        <v>105</v>
      </c>
      <c r="C214" s="1" t="s">
        <v>448</v>
      </c>
      <c r="D214" s="1" t="s">
        <v>27</v>
      </c>
      <c r="E214" s="1" t="s">
        <v>449</v>
      </c>
      <c r="F214" s="1" t="s">
        <v>498</v>
      </c>
      <c r="G214" s="1" t="s">
        <v>553</v>
      </c>
      <c r="H214" s="1" t="s">
        <v>1424</v>
      </c>
      <c r="I214" s="1" t="s">
        <v>1425</v>
      </c>
      <c r="J214" s="1" t="s">
        <v>1426</v>
      </c>
      <c r="K214" s="1" t="s">
        <v>1427</v>
      </c>
      <c r="L214" s="1"/>
      <c r="M214" s="1"/>
      <c r="N214" s="1" t="s">
        <v>377</v>
      </c>
      <c r="O214" s="1">
        <v>9</v>
      </c>
      <c r="P214" s="1" t="s">
        <v>498</v>
      </c>
      <c r="Q214" s="1" t="s">
        <v>106</v>
      </c>
      <c r="R214" s="1" t="s">
        <v>375</v>
      </c>
      <c r="S214" s="1"/>
      <c r="T214" s="1" t="s">
        <v>23</v>
      </c>
      <c r="U214" s="1" t="s">
        <v>553</v>
      </c>
      <c r="V214" s="1" t="s">
        <v>1425</v>
      </c>
      <c r="W214" s="1" t="s">
        <v>1426</v>
      </c>
      <c r="X214" s="1" t="s">
        <v>1427</v>
      </c>
      <c r="Y214" s="1"/>
    </row>
    <row r="215" spans="1:25" ht="28.5" hidden="1">
      <c r="A215" s="1" t="s">
        <v>1428</v>
      </c>
      <c r="B215" s="1" t="s">
        <v>105</v>
      </c>
      <c r="C215" s="1" t="s">
        <v>448</v>
      </c>
      <c r="D215" s="1" t="s">
        <v>27</v>
      </c>
      <c r="E215" s="1" t="s">
        <v>449</v>
      </c>
      <c r="F215" s="1" t="s">
        <v>498</v>
      </c>
      <c r="G215" s="1" t="s">
        <v>559</v>
      </c>
      <c r="H215" s="1" t="s">
        <v>1429</v>
      </c>
      <c r="I215" s="1" t="s">
        <v>1430</v>
      </c>
      <c r="J215" s="1" t="s">
        <v>1431</v>
      </c>
      <c r="K215" s="1" t="s">
        <v>1432</v>
      </c>
      <c r="L215" s="1"/>
      <c r="M215" s="1"/>
      <c r="N215" s="1" t="s">
        <v>377</v>
      </c>
      <c r="O215" s="1">
        <v>10</v>
      </c>
      <c r="P215" s="1" t="s">
        <v>498</v>
      </c>
      <c r="Q215" s="1" t="s">
        <v>106</v>
      </c>
      <c r="R215" s="1" t="s">
        <v>375</v>
      </c>
      <c r="S215" s="1"/>
      <c r="T215" s="1" t="s">
        <v>23</v>
      </c>
      <c r="U215" s="1" t="s">
        <v>559</v>
      </c>
      <c r="V215" s="1" t="s">
        <v>1430</v>
      </c>
      <c r="W215" s="1" t="s">
        <v>1431</v>
      </c>
      <c r="X215" s="1" t="s">
        <v>1432</v>
      </c>
      <c r="Y215" s="1"/>
    </row>
    <row r="216" spans="1:25" ht="42.75" hidden="1">
      <c r="A216" s="1" t="s">
        <v>1433</v>
      </c>
      <c r="B216" s="1" t="s">
        <v>105</v>
      </c>
      <c r="C216" s="1" t="s">
        <v>448</v>
      </c>
      <c r="D216" s="1" t="s">
        <v>27</v>
      </c>
      <c r="E216" s="1" t="s">
        <v>449</v>
      </c>
      <c r="F216" s="1" t="s">
        <v>498</v>
      </c>
      <c r="G216" s="1" t="s">
        <v>565</v>
      </c>
      <c r="H216" s="1" t="s">
        <v>1434</v>
      </c>
      <c r="I216" s="1" t="s">
        <v>1435</v>
      </c>
      <c r="J216" s="1" t="s">
        <v>1436</v>
      </c>
      <c r="K216" s="1" t="s">
        <v>1437</v>
      </c>
      <c r="L216" s="1"/>
      <c r="M216" s="1"/>
      <c r="N216" s="1" t="s">
        <v>377</v>
      </c>
      <c r="O216" s="1">
        <v>11</v>
      </c>
      <c r="P216" s="1" t="s">
        <v>498</v>
      </c>
      <c r="Q216" s="1" t="s">
        <v>106</v>
      </c>
      <c r="R216" s="1" t="s">
        <v>375</v>
      </c>
      <c r="S216" s="1"/>
      <c r="T216" s="1" t="s">
        <v>23</v>
      </c>
      <c r="U216" s="1" t="s">
        <v>565</v>
      </c>
      <c r="V216" s="1" t="s">
        <v>1435</v>
      </c>
      <c r="W216" s="1" t="s">
        <v>1436</v>
      </c>
      <c r="X216" s="1" t="s">
        <v>1437</v>
      </c>
      <c r="Y216" s="1"/>
    </row>
    <row r="217" spans="1:25" ht="28.5" hidden="1">
      <c r="A217" s="1" t="s">
        <v>1438</v>
      </c>
      <c r="B217" s="1" t="s">
        <v>105</v>
      </c>
      <c r="C217" s="1" t="s">
        <v>448</v>
      </c>
      <c r="D217" s="1" t="s">
        <v>27</v>
      </c>
      <c r="E217" s="1" t="s">
        <v>449</v>
      </c>
      <c r="F217" s="1" t="s">
        <v>498</v>
      </c>
      <c r="G217" s="1" t="s">
        <v>571</v>
      </c>
      <c r="H217" s="1" t="s">
        <v>1439</v>
      </c>
      <c r="I217" s="1" t="s">
        <v>1440</v>
      </c>
      <c r="J217" s="1" t="s">
        <v>1441</v>
      </c>
      <c r="K217" s="1" t="s">
        <v>1442</v>
      </c>
      <c r="L217" s="1"/>
      <c r="M217" s="1"/>
      <c r="N217" s="1" t="s">
        <v>377</v>
      </c>
      <c r="O217" s="1">
        <v>12</v>
      </c>
      <c r="P217" s="1" t="s">
        <v>498</v>
      </c>
      <c r="Q217" s="1" t="s">
        <v>106</v>
      </c>
      <c r="R217" s="1" t="s">
        <v>375</v>
      </c>
      <c r="S217" s="1"/>
      <c r="T217" s="1" t="s">
        <v>23</v>
      </c>
      <c r="U217" s="1" t="s">
        <v>571</v>
      </c>
      <c r="V217" s="1" t="s">
        <v>1440</v>
      </c>
      <c r="W217" s="1" t="s">
        <v>1441</v>
      </c>
      <c r="X217" s="1" t="s">
        <v>1442</v>
      </c>
      <c r="Y217" s="1"/>
    </row>
    <row r="218" spans="1:25" ht="28.5" hidden="1">
      <c r="A218" s="1" t="s">
        <v>1443</v>
      </c>
      <c r="B218" s="1"/>
      <c r="C218" s="1" t="s">
        <v>487</v>
      </c>
      <c r="D218" s="1" t="s">
        <v>27</v>
      </c>
      <c r="E218" s="1" t="s">
        <v>449</v>
      </c>
      <c r="F218" s="1" t="s">
        <v>488</v>
      </c>
      <c r="G218" s="1"/>
      <c r="H218" s="1" t="s">
        <v>1444</v>
      </c>
      <c r="I218" s="1" t="s">
        <v>1445</v>
      </c>
      <c r="J218" s="1" t="s">
        <v>1446</v>
      </c>
      <c r="K218" s="1" t="s">
        <v>1447</v>
      </c>
      <c r="L218" s="1"/>
      <c r="M218" s="1"/>
      <c r="N218" s="1" t="s">
        <v>377</v>
      </c>
      <c r="O218" s="1">
        <v>24</v>
      </c>
      <c r="P218" s="1" t="s">
        <v>498</v>
      </c>
      <c r="Q218" s="1" t="s">
        <v>106</v>
      </c>
      <c r="R218" s="1" t="s">
        <v>375</v>
      </c>
      <c r="S218" s="1"/>
      <c r="T218" s="1" t="s">
        <v>23</v>
      </c>
      <c r="U218" s="1"/>
      <c r="V218" s="1" t="s">
        <v>1445</v>
      </c>
      <c r="W218" s="1" t="s">
        <v>1446</v>
      </c>
      <c r="X218" s="1" t="s">
        <v>1447</v>
      </c>
      <c r="Y218" s="1"/>
    </row>
    <row r="219" spans="1:25" ht="42.75" hidden="1">
      <c r="A219" s="1" t="s">
        <v>1448</v>
      </c>
      <c r="B219" s="1"/>
      <c r="C219" s="1" t="s">
        <v>487</v>
      </c>
      <c r="D219" s="1" t="s">
        <v>27</v>
      </c>
      <c r="E219" s="1" t="s">
        <v>449</v>
      </c>
      <c r="F219" s="1" t="s">
        <v>488</v>
      </c>
      <c r="G219" s="1"/>
      <c r="H219" s="1" t="s">
        <v>1449</v>
      </c>
      <c r="I219" s="1" t="s">
        <v>1450</v>
      </c>
      <c r="J219" s="1" t="s">
        <v>1451</v>
      </c>
      <c r="K219" s="1" t="s">
        <v>1452</v>
      </c>
      <c r="L219" s="1"/>
      <c r="M219" s="1"/>
      <c r="N219" s="1" t="s">
        <v>377</v>
      </c>
      <c r="O219" s="1">
        <v>25</v>
      </c>
      <c r="P219" s="1" t="s">
        <v>498</v>
      </c>
      <c r="Q219" s="1" t="s">
        <v>106</v>
      </c>
      <c r="R219" s="1" t="s">
        <v>375</v>
      </c>
      <c r="S219" s="1"/>
      <c r="T219" s="1" t="s">
        <v>23</v>
      </c>
      <c r="U219" s="1"/>
      <c r="V219" s="1" t="s">
        <v>1450</v>
      </c>
      <c r="W219" s="1" t="s">
        <v>1451</v>
      </c>
      <c r="X219" s="1" t="s">
        <v>1452</v>
      </c>
      <c r="Y219" s="1"/>
    </row>
    <row r="220" spans="1:25" ht="28.5" hidden="1">
      <c r="A220" s="1" t="s">
        <v>1453</v>
      </c>
      <c r="B220" s="1"/>
      <c r="C220" s="1" t="s">
        <v>487</v>
      </c>
      <c r="D220" s="1" t="s">
        <v>27</v>
      </c>
      <c r="E220" s="1" t="s">
        <v>449</v>
      </c>
      <c r="F220" s="1" t="s">
        <v>488</v>
      </c>
      <c r="G220" s="1"/>
      <c r="H220" s="1"/>
      <c r="I220" s="1" t="s">
        <v>1454</v>
      </c>
      <c r="J220" s="1" t="s">
        <v>1455</v>
      </c>
      <c r="K220" s="1" t="s">
        <v>1456</v>
      </c>
      <c r="L220" s="1"/>
      <c r="M220" s="1"/>
      <c r="N220" s="1" t="s">
        <v>377</v>
      </c>
      <c r="O220" s="1">
        <v>26</v>
      </c>
      <c r="P220" s="1" t="s">
        <v>498</v>
      </c>
      <c r="Q220" s="1" t="s">
        <v>106</v>
      </c>
      <c r="R220" s="1" t="s">
        <v>375</v>
      </c>
      <c r="S220" s="1"/>
      <c r="T220" s="1" t="s">
        <v>23</v>
      </c>
      <c r="U220" s="1"/>
      <c r="V220" s="1" t="s">
        <v>1454</v>
      </c>
      <c r="W220" s="1" t="s">
        <v>1455</v>
      </c>
      <c r="X220" s="1" t="s">
        <v>1456</v>
      </c>
      <c r="Y220" s="1"/>
    </row>
    <row r="221" spans="1:25" ht="42.75" hidden="1">
      <c r="A221" s="1" t="s">
        <v>1457</v>
      </c>
      <c r="B221" s="1" t="s">
        <v>287</v>
      </c>
      <c r="C221" s="1" t="s">
        <v>448</v>
      </c>
      <c r="D221" s="1" t="s">
        <v>27</v>
      </c>
      <c r="E221" s="1" t="s">
        <v>449</v>
      </c>
      <c r="F221" s="1" t="s">
        <v>528</v>
      </c>
      <c r="G221" s="1" t="s">
        <v>701</v>
      </c>
      <c r="H221" s="1" t="s">
        <v>1458</v>
      </c>
      <c r="I221" s="1" t="s">
        <v>1459</v>
      </c>
      <c r="J221" s="1" t="s">
        <v>1407</v>
      </c>
      <c r="K221" s="1" t="s">
        <v>1460</v>
      </c>
      <c r="L221" s="1"/>
      <c r="M221" s="1"/>
      <c r="N221" s="1" t="s">
        <v>414</v>
      </c>
      <c r="O221" s="1">
        <v>7</v>
      </c>
      <c r="P221" s="1" t="s">
        <v>528</v>
      </c>
      <c r="Q221" s="1" t="s">
        <v>288</v>
      </c>
      <c r="R221" s="1" t="s">
        <v>375</v>
      </c>
      <c r="S221" s="1"/>
      <c r="T221" s="1" t="s">
        <v>49</v>
      </c>
      <c r="U221" s="1" t="s">
        <v>701</v>
      </c>
      <c r="V221" s="1" t="s">
        <v>1459</v>
      </c>
      <c r="W221" s="1" t="s">
        <v>1407</v>
      </c>
      <c r="X221" s="1" t="s">
        <v>1460</v>
      </c>
      <c r="Y221" s="1"/>
    </row>
    <row r="222" spans="1:25" ht="71.25" hidden="1">
      <c r="A222" s="1" t="s">
        <v>1461</v>
      </c>
      <c r="B222" s="1" t="s">
        <v>287</v>
      </c>
      <c r="C222" s="1" t="s">
        <v>448</v>
      </c>
      <c r="D222" s="1" t="s">
        <v>27</v>
      </c>
      <c r="E222" s="1" t="s">
        <v>449</v>
      </c>
      <c r="F222" s="1" t="s">
        <v>528</v>
      </c>
      <c r="G222" s="1" t="s">
        <v>707</v>
      </c>
      <c r="H222" s="1" t="s">
        <v>1462</v>
      </c>
      <c r="I222" s="1" t="s">
        <v>1463</v>
      </c>
      <c r="J222" s="1" t="s">
        <v>915</v>
      </c>
      <c r="K222" s="1" t="s">
        <v>1464</v>
      </c>
      <c r="L222" s="1"/>
      <c r="M222" s="1"/>
      <c r="N222" s="1" t="s">
        <v>414</v>
      </c>
      <c r="O222" s="1">
        <v>8</v>
      </c>
      <c r="P222" s="1" t="s">
        <v>528</v>
      </c>
      <c r="Q222" s="1" t="s">
        <v>288</v>
      </c>
      <c r="R222" s="1" t="s">
        <v>375</v>
      </c>
      <c r="S222" s="1"/>
      <c r="T222" s="1" t="s">
        <v>49</v>
      </c>
      <c r="U222" s="1" t="s">
        <v>707</v>
      </c>
      <c r="V222" s="1" t="s">
        <v>1463</v>
      </c>
      <c r="W222" s="1" t="s">
        <v>915</v>
      </c>
      <c r="X222" s="1" t="s">
        <v>1464</v>
      </c>
      <c r="Y222" s="1"/>
    </row>
    <row r="223" spans="1:25" ht="71.25" hidden="1">
      <c r="A223" s="1" t="s">
        <v>1465</v>
      </c>
      <c r="B223" s="1" t="s">
        <v>287</v>
      </c>
      <c r="C223" s="1" t="s">
        <v>448</v>
      </c>
      <c r="D223" s="1" t="s">
        <v>27</v>
      </c>
      <c r="E223" s="1" t="s">
        <v>449</v>
      </c>
      <c r="F223" s="1" t="s">
        <v>528</v>
      </c>
      <c r="G223" s="1" t="s">
        <v>713</v>
      </c>
      <c r="H223" s="1" t="s">
        <v>1466</v>
      </c>
      <c r="I223" s="1" t="s">
        <v>1467</v>
      </c>
      <c r="J223" s="1" t="s">
        <v>915</v>
      </c>
      <c r="K223" s="1" t="s">
        <v>1468</v>
      </c>
      <c r="L223" s="1"/>
      <c r="M223" s="1"/>
      <c r="N223" s="1" t="s">
        <v>414</v>
      </c>
      <c r="O223" s="1">
        <v>9</v>
      </c>
      <c r="P223" s="1" t="s">
        <v>528</v>
      </c>
      <c r="Q223" s="1" t="s">
        <v>288</v>
      </c>
      <c r="R223" s="1" t="s">
        <v>375</v>
      </c>
      <c r="S223" s="1"/>
      <c r="T223" s="1" t="s">
        <v>49</v>
      </c>
      <c r="U223" s="1" t="s">
        <v>713</v>
      </c>
      <c r="V223" s="1" t="s">
        <v>1467</v>
      </c>
      <c r="W223" s="1" t="s">
        <v>915</v>
      </c>
      <c r="X223" s="1" t="s">
        <v>1468</v>
      </c>
      <c r="Y223" s="1"/>
    </row>
    <row r="224" spans="1:25" ht="42.75" hidden="1">
      <c r="A224" s="1" t="s">
        <v>1469</v>
      </c>
      <c r="B224" s="1" t="s">
        <v>287</v>
      </c>
      <c r="C224" s="1" t="s">
        <v>448</v>
      </c>
      <c r="D224" s="1" t="s">
        <v>27</v>
      </c>
      <c r="E224" s="1" t="s">
        <v>449</v>
      </c>
      <c r="F224" s="1" t="s">
        <v>528</v>
      </c>
      <c r="G224" s="1" t="s">
        <v>719</v>
      </c>
      <c r="H224" s="1" t="s">
        <v>1470</v>
      </c>
      <c r="I224" s="1" t="s">
        <v>1471</v>
      </c>
      <c r="J224" s="1" t="s">
        <v>1472</v>
      </c>
      <c r="K224" s="1" t="s">
        <v>1473</v>
      </c>
      <c r="L224" s="1"/>
      <c r="M224" s="1"/>
      <c r="N224" s="1" t="s">
        <v>414</v>
      </c>
      <c r="O224" s="1">
        <v>10</v>
      </c>
      <c r="P224" s="1" t="s">
        <v>528</v>
      </c>
      <c r="Q224" s="1" t="s">
        <v>288</v>
      </c>
      <c r="R224" s="1" t="s">
        <v>375</v>
      </c>
      <c r="S224" s="1"/>
      <c r="T224" s="1" t="s">
        <v>49</v>
      </c>
      <c r="U224" s="1" t="s">
        <v>719</v>
      </c>
      <c r="V224" s="1" t="s">
        <v>1471</v>
      </c>
      <c r="W224" s="1" t="s">
        <v>1472</v>
      </c>
      <c r="X224" s="1" t="s">
        <v>1473</v>
      </c>
      <c r="Y224" s="1"/>
    </row>
    <row r="225" spans="1:25" ht="28.5" hidden="1">
      <c r="A225" s="1" t="s">
        <v>1474</v>
      </c>
      <c r="B225" s="1" t="s">
        <v>287</v>
      </c>
      <c r="C225" s="1" t="s">
        <v>448</v>
      </c>
      <c r="D225" s="1" t="s">
        <v>27</v>
      </c>
      <c r="E225" s="1" t="s">
        <v>449</v>
      </c>
      <c r="F225" s="1" t="s">
        <v>528</v>
      </c>
      <c r="G225" s="1" t="s">
        <v>811</v>
      </c>
      <c r="H225" s="1" t="s">
        <v>1475</v>
      </c>
      <c r="I225" s="1" t="s">
        <v>1476</v>
      </c>
      <c r="J225" s="1" t="s">
        <v>1477</v>
      </c>
      <c r="K225" s="1"/>
      <c r="L225" s="1"/>
      <c r="M225" s="1"/>
      <c r="N225" s="1" t="s">
        <v>414</v>
      </c>
      <c r="O225" s="1">
        <v>11</v>
      </c>
      <c r="P225" s="1" t="s">
        <v>528</v>
      </c>
      <c r="Q225" s="1" t="s">
        <v>288</v>
      </c>
      <c r="R225" s="1" t="s">
        <v>375</v>
      </c>
      <c r="S225" s="1"/>
      <c r="T225" s="1" t="s">
        <v>49</v>
      </c>
      <c r="U225" s="1" t="s">
        <v>811</v>
      </c>
      <c r="V225" s="1" t="s">
        <v>1476</v>
      </c>
      <c r="W225" s="1" t="s">
        <v>1477</v>
      </c>
      <c r="X225" s="1"/>
      <c r="Y225" s="1"/>
    </row>
    <row r="226" spans="1:25" ht="42.75" hidden="1">
      <c r="A226" s="1" t="s">
        <v>1478</v>
      </c>
      <c r="B226" s="1" t="s">
        <v>287</v>
      </c>
      <c r="C226" s="1" t="s">
        <v>448</v>
      </c>
      <c r="D226" s="1" t="s">
        <v>27</v>
      </c>
      <c r="E226" s="1" t="s">
        <v>449</v>
      </c>
      <c r="F226" s="1" t="s">
        <v>528</v>
      </c>
      <c r="G226" s="1" t="s">
        <v>827</v>
      </c>
      <c r="H226" s="1" t="s">
        <v>1479</v>
      </c>
      <c r="I226" s="1" t="s">
        <v>1480</v>
      </c>
      <c r="J226" s="1" t="s">
        <v>1481</v>
      </c>
      <c r="K226" s="1" t="s">
        <v>1482</v>
      </c>
      <c r="L226" s="1"/>
      <c r="M226" s="1"/>
      <c r="N226" s="1" t="s">
        <v>414</v>
      </c>
      <c r="O226" s="1">
        <v>12</v>
      </c>
      <c r="P226" s="1" t="s">
        <v>528</v>
      </c>
      <c r="Q226" s="1" t="s">
        <v>288</v>
      </c>
      <c r="R226" s="1" t="s">
        <v>375</v>
      </c>
      <c r="S226" s="1"/>
      <c r="T226" s="1" t="s">
        <v>49</v>
      </c>
      <c r="U226" s="1" t="s">
        <v>827</v>
      </c>
      <c r="V226" s="1" t="s">
        <v>1480</v>
      </c>
      <c r="W226" s="1" t="s">
        <v>1481</v>
      </c>
      <c r="X226" s="1" t="s">
        <v>1482</v>
      </c>
      <c r="Y226" s="1"/>
    </row>
    <row r="227" spans="1:25" ht="28.5" hidden="1">
      <c r="A227" s="1" t="s">
        <v>1483</v>
      </c>
      <c r="B227" s="1" t="s">
        <v>287</v>
      </c>
      <c r="C227" s="1" t="s">
        <v>448</v>
      </c>
      <c r="D227" s="1" t="s">
        <v>27</v>
      </c>
      <c r="E227" s="1" t="s">
        <v>449</v>
      </c>
      <c r="F227" s="1" t="s">
        <v>528</v>
      </c>
      <c r="G227" s="1" t="s">
        <v>833</v>
      </c>
      <c r="H227" s="1" t="s">
        <v>1484</v>
      </c>
      <c r="I227" s="1" t="s">
        <v>1485</v>
      </c>
      <c r="J227" s="1" t="s">
        <v>1486</v>
      </c>
      <c r="K227" s="1" t="s">
        <v>1487</v>
      </c>
      <c r="L227" s="1"/>
      <c r="M227" s="1"/>
      <c r="N227" s="1" t="s">
        <v>414</v>
      </c>
      <c r="O227" s="1">
        <v>13</v>
      </c>
      <c r="P227" s="1" t="s">
        <v>528</v>
      </c>
      <c r="Q227" s="1" t="s">
        <v>288</v>
      </c>
      <c r="R227" s="1" t="s">
        <v>375</v>
      </c>
      <c r="S227" s="1"/>
      <c r="T227" s="1" t="s">
        <v>49</v>
      </c>
      <c r="U227" s="1" t="s">
        <v>833</v>
      </c>
      <c r="V227" s="1" t="s">
        <v>1485</v>
      </c>
      <c r="W227" s="1" t="s">
        <v>1486</v>
      </c>
      <c r="X227" s="1" t="s">
        <v>1487</v>
      </c>
      <c r="Y227" s="1"/>
    </row>
    <row r="228" spans="1:25" ht="28.5" hidden="1">
      <c r="A228" s="1" t="s">
        <v>1488</v>
      </c>
      <c r="B228" s="1" t="s">
        <v>312</v>
      </c>
      <c r="C228" s="1" t="s">
        <v>448</v>
      </c>
      <c r="D228" s="1" t="s">
        <v>27</v>
      </c>
      <c r="E228" s="1" t="s">
        <v>449</v>
      </c>
      <c r="F228" s="1" t="s">
        <v>528</v>
      </c>
      <c r="G228" s="1" t="s">
        <v>451</v>
      </c>
      <c r="H228" s="1" t="s">
        <v>1489</v>
      </c>
      <c r="I228" s="1" t="s">
        <v>1490</v>
      </c>
      <c r="J228" s="1" t="s">
        <v>1491</v>
      </c>
      <c r="K228" s="1" t="s">
        <v>1492</v>
      </c>
      <c r="L228" s="1"/>
      <c r="M228" s="1"/>
      <c r="N228" s="1" t="s">
        <v>414</v>
      </c>
      <c r="O228" s="1">
        <v>14</v>
      </c>
      <c r="P228" s="1" t="s">
        <v>528</v>
      </c>
      <c r="Q228" s="1" t="s">
        <v>288</v>
      </c>
      <c r="R228" s="1" t="s">
        <v>375</v>
      </c>
      <c r="S228" s="1"/>
      <c r="T228" s="1" t="s">
        <v>49</v>
      </c>
      <c r="U228" s="1" t="s">
        <v>451</v>
      </c>
      <c r="V228" s="1" t="s">
        <v>1490</v>
      </c>
      <c r="W228" s="1" t="s">
        <v>1491</v>
      </c>
      <c r="X228" s="1" t="s">
        <v>1492</v>
      </c>
      <c r="Y228" s="1"/>
    </row>
    <row r="229" spans="1:25" ht="42.75" hidden="1">
      <c r="A229" s="1" t="s">
        <v>1493</v>
      </c>
      <c r="B229" s="1" t="s">
        <v>312</v>
      </c>
      <c r="C229" s="1" t="s">
        <v>448</v>
      </c>
      <c r="D229" s="1" t="s">
        <v>27</v>
      </c>
      <c r="E229" s="1" t="s">
        <v>449</v>
      </c>
      <c r="F229" s="1" t="s">
        <v>528</v>
      </c>
      <c r="G229" s="1" t="s">
        <v>458</v>
      </c>
      <c r="H229" s="1" t="s">
        <v>1494</v>
      </c>
      <c r="I229" s="1" t="s">
        <v>1495</v>
      </c>
      <c r="J229" s="1" t="s">
        <v>1496</v>
      </c>
      <c r="K229" s="1" t="s">
        <v>1497</v>
      </c>
      <c r="L229" s="1"/>
      <c r="M229" s="1"/>
      <c r="N229" s="1" t="s">
        <v>414</v>
      </c>
      <c r="O229" s="1">
        <v>15</v>
      </c>
      <c r="P229" s="1" t="s">
        <v>528</v>
      </c>
      <c r="Q229" s="1" t="s">
        <v>288</v>
      </c>
      <c r="R229" s="1" t="s">
        <v>375</v>
      </c>
      <c r="S229" s="1"/>
      <c r="T229" s="1" t="s">
        <v>49</v>
      </c>
      <c r="U229" s="1" t="s">
        <v>458</v>
      </c>
      <c r="V229" s="1" t="s">
        <v>1495</v>
      </c>
      <c r="W229" s="1" t="s">
        <v>1496</v>
      </c>
      <c r="X229" s="1" t="s">
        <v>1497</v>
      </c>
      <c r="Y229" s="1"/>
    </row>
    <row r="230" spans="1:25" ht="28.5" hidden="1">
      <c r="A230" s="1" t="s">
        <v>1498</v>
      </c>
      <c r="B230" s="1" t="s">
        <v>312</v>
      </c>
      <c r="C230" s="1" t="s">
        <v>448</v>
      </c>
      <c r="D230" s="1" t="s">
        <v>27</v>
      </c>
      <c r="E230" s="1" t="s">
        <v>449</v>
      </c>
      <c r="F230" s="1" t="s">
        <v>528</v>
      </c>
      <c r="G230" s="1" t="s">
        <v>464</v>
      </c>
      <c r="H230" s="1" t="s">
        <v>1499</v>
      </c>
      <c r="I230" s="1" t="s">
        <v>1500</v>
      </c>
      <c r="J230" s="1" t="s">
        <v>1501</v>
      </c>
      <c r="K230" s="1"/>
      <c r="L230" s="1"/>
      <c r="M230" s="1"/>
      <c r="N230" s="1" t="s">
        <v>414</v>
      </c>
      <c r="O230" s="1">
        <v>16</v>
      </c>
      <c r="P230" s="1" t="s">
        <v>528</v>
      </c>
      <c r="Q230" s="1" t="s">
        <v>288</v>
      </c>
      <c r="R230" s="1" t="s">
        <v>375</v>
      </c>
      <c r="S230" s="1"/>
      <c r="T230" s="1" t="s">
        <v>49</v>
      </c>
      <c r="U230" s="1" t="s">
        <v>464</v>
      </c>
      <c r="V230" s="1" t="s">
        <v>1500</v>
      </c>
      <c r="W230" s="1" t="s">
        <v>1501</v>
      </c>
      <c r="X230" s="1"/>
      <c r="Y230" s="1"/>
    </row>
    <row r="231" spans="1:25" ht="42.75" hidden="1">
      <c r="A231" s="1" t="s">
        <v>1502</v>
      </c>
      <c r="B231" s="1"/>
      <c r="C231" s="1" t="s">
        <v>487</v>
      </c>
      <c r="D231" s="1" t="s">
        <v>27</v>
      </c>
      <c r="E231" s="1" t="s">
        <v>449</v>
      </c>
      <c r="F231" s="1" t="s">
        <v>488</v>
      </c>
      <c r="G231" s="1"/>
      <c r="H231" s="1" t="s">
        <v>1503</v>
      </c>
      <c r="I231" s="1" t="s">
        <v>1504</v>
      </c>
      <c r="J231" s="1" t="s">
        <v>1505</v>
      </c>
      <c r="K231" s="1" t="s">
        <v>1506</v>
      </c>
      <c r="L231" s="1"/>
      <c r="M231" s="1"/>
      <c r="N231" s="1" t="s">
        <v>414</v>
      </c>
      <c r="O231" s="1">
        <v>25</v>
      </c>
      <c r="P231" s="1" t="s">
        <v>528</v>
      </c>
      <c r="Q231" s="1" t="s">
        <v>288</v>
      </c>
      <c r="R231" s="1" t="s">
        <v>375</v>
      </c>
      <c r="S231" s="1"/>
      <c r="T231" s="1" t="s">
        <v>49</v>
      </c>
      <c r="U231" s="1"/>
      <c r="V231" s="1" t="s">
        <v>1504</v>
      </c>
      <c r="W231" s="1" t="s">
        <v>1505</v>
      </c>
      <c r="X231" s="1" t="s">
        <v>1506</v>
      </c>
      <c r="Y231" s="1"/>
    </row>
    <row r="232" spans="1:25" ht="28.5" hidden="1">
      <c r="A232" s="1" t="s">
        <v>1507</v>
      </c>
      <c r="B232" s="1"/>
      <c r="C232" s="1" t="s">
        <v>487</v>
      </c>
      <c r="D232" s="1" t="s">
        <v>27</v>
      </c>
      <c r="E232" s="1" t="s">
        <v>449</v>
      </c>
      <c r="F232" s="1" t="s">
        <v>488</v>
      </c>
      <c r="G232" s="1"/>
      <c r="H232" s="1" t="s">
        <v>1508</v>
      </c>
      <c r="I232" s="1" t="s">
        <v>1509</v>
      </c>
      <c r="J232" s="1" t="s">
        <v>1510</v>
      </c>
      <c r="K232" s="1" t="s">
        <v>1511</v>
      </c>
      <c r="L232" s="1"/>
      <c r="M232" s="1"/>
      <c r="N232" s="1" t="s">
        <v>414</v>
      </c>
      <c r="O232" s="1">
        <v>26</v>
      </c>
      <c r="P232" s="1" t="s">
        <v>528</v>
      </c>
      <c r="Q232" s="1" t="s">
        <v>288</v>
      </c>
      <c r="R232" s="1" t="s">
        <v>375</v>
      </c>
      <c r="S232" s="1"/>
      <c r="T232" s="1" t="s">
        <v>49</v>
      </c>
      <c r="U232" s="1"/>
      <c r="V232" s="1" t="s">
        <v>1509</v>
      </c>
      <c r="W232" s="1" t="s">
        <v>1510</v>
      </c>
      <c r="X232" s="1" t="s">
        <v>1511</v>
      </c>
      <c r="Y232" s="1"/>
    </row>
    <row r="233" spans="1:25" ht="28.5" hidden="1">
      <c r="A233" s="1" t="s">
        <v>1512</v>
      </c>
      <c r="B233" s="1"/>
      <c r="C233" s="1" t="s">
        <v>487</v>
      </c>
      <c r="D233" s="1" t="s">
        <v>27</v>
      </c>
      <c r="E233" s="1" t="s">
        <v>449</v>
      </c>
      <c r="F233" s="1" t="s">
        <v>488</v>
      </c>
      <c r="G233" s="1"/>
      <c r="H233" s="1" t="s">
        <v>1513</v>
      </c>
      <c r="I233" s="1" t="s">
        <v>1514</v>
      </c>
      <c r="J233" s="1" t="s">
        <v>819</v>
      </c>
      <c r="K233" s="1" t="s">
        <v>1515</v>
      </c>
      <c r="L233" s="1"/>
      <c r="M233" s="1"/>
      <c r="N233" s="1" t="s">
        <v>414</v>
      </c>
      <c r="O233" s="1">
        <v>27</v>
      </c>
      <c r="P233" s="1" t="s">
        <v>528</v>
      </c>
      <c r="Q233" s="1" t="s">
        <v>288</v>
      </c>
      <c r="R233" s="1" t="s">
        <v>375</v>
      </c>
      <c r="S233" s="1"/>
      <c r="T233" s="1" t="s">
        <v>49</v>
      </c>
      <c r="U233" s="1"/>
      <c r="V233" s="1" t="s">
        <v>1514</v>
      </c>
      <c r="W233" s="1" t="s">
        <v>819</v>
      </c>
      <c r="X233" s="1" t="s">
        <v>1515</v>
      </c>
      <c r="Y233" s="1"/>
    </row>
    <row r="234" spans="1:25" ht="28.5" hidden="1">
      <c r="A234" s="1" t="s">
        <v>1516</v>
      </c>
      <c r="B234" s="1"/>
      <c r="C234" s="1" t="s">
        <v>487</v>
      </c>
      <c r="D234" s="1" t="s">
        <v>27</v>
      </c>
      <c r="E234" s="1" t="s">
        <v>449</v>
      </c>
      <c r="F234" s="1" t="s">
        <v>488</v>
      </c>
      <c r="G234" s="1"/>
      <c r="H234" s="1"/>
      <c r="I234" s="1" t="s">
        <v>1517</v>
      </c>
      <c r="J234" s="1" t="s">
        <v>1518</v>
      </c>
      <c r="K234" s="1"/>
      <c r="L234" s="1"/>
      <c r="M234" s="1"/>
      <c r="N234" s="1" t="s">
        <v>414</v>
      </c>
      <c r="O234" s="1">
        <v>28</v>
      </c>
      <c r="P234" s="1" t="s">
        <v>528</v>
      </c>
      <c r="Q234" s="1" t="s">
        <v>288</v>
      </c>
      <c r="R234" s="1" t="s">
        <v>375</v>
      </c>
      <c r="S234" s="1"/>
      <c r="T234" s="1" t="s">
        <v>49</v>
      </c>
      <c r="U234" s="1"/>
      <c r="V234" s="1" t="s">
        <v>1517</v>
      </c>
      <c r="W234" s="1" t="s">
        <v>1518</v>
      </c>
      <c r="X234" s="1"/>
      <c r="Y234" s="1"/>
    </row>
    <row r="235" spans="1:25" ht="28.5" hidden="1">
      <c r="A235" s="1" t="s">
        <v>1519</v>
      </c>
      <c r="B235" s="1"/>
      <c r="C235" s="1" t="s">
        <v>487</v>
      </c>
      <c r="D235" s="1" t="s">
        <v>27</v>
      </c>
      <c r="E235" s="1" t="s">
        <v>449</v>
      </c>
      <c r="F235" s="1" t="s">
        <v>488</v>
      </c>
      <c r="G235" s="1"/>
      <c r="H235" s="1"/>
      <c r="I235" s="1" t="s">
        <v>1520</v>
      </c>
      <c r="J235" s="1" t="s">
        <v>1521</v>
      </c>
      <c r="K235" s="1" t="s">
        <v>1522</v>
      </c>
      <c r="L235" s="1"/>
      <c r="M235" s="1"/>
      <c r="N235" s="1" t="s">
        <v>414</v>
      </c>
      <c r="O235" s="1">
        <v>29</v>
      </c>
      <c r="P235" s="1" t="s">
        <v>528</v>
      </c>
      <c r="Q235" s="1" t="s">
        <v>288</v>
      </c>
      <c r="R235" s="1" t="s">
        <v>375</v>
      </c>
      <c r="S235" s="1"/>
      <c r="T235" s="1" t="s">
        <v>49</v>
      </c>
      <c r="U235" s="1"/>
      <c r="V235" s="1" t="s">
        <v>1520</v>
      </c>
      <c r="W235" s="1" t="s">
        <v>1521</v>
      </c>
      <c r="X235" s="1" t="s">
        <v>1522</v>
      </c>
      <c r="Y235" s="1"/>
    </row>
    <row r="236" spans="1:25" ht="28.5" hidden="1">
      <c r="A236" s="1" t="s">
        <v>1523</v>
      </c>
      <c r="B236" s="1"/>
      <c r="C236" s="1" t="s">
        <v>487</v>
      </c>
      <c r="D236" s="1" t="s">
        <v>27</v>
      </c>
      <c r="E236" s="1" t="s">
        <v>449</v>
      </c>
      <c r="F236" s="1" t="s">
        <v>488</v>
      </c>
      <c r="G236" s="1"/>
      <c r="H236" s="1"/>
      <c r="I236" s="1" t="s">
        <v>1524</v>
      </c>
      <c r="J236" s="1" t="s">
        <v>1525</v>
      </c>
      <c r="K236" s="1" t="s">
        <v>1526</v>
      </c>
      <c r="L236" s="1"/>
      <c r="M236" s="1"/>
      <c r="N236" s="1" t="s">
        <v>414</v>
      </c>
      <c r="O236" s="1">
        <v>30</v>
      </c>
      <c r="P236" s="1" t="s">
        <v>528</v>
      </c>
      <c r="Q236" s="1" t="s">
        <v>288</v>
      </c>
      <c r="R236" s="1" t="s">
        <v>375</v>
      </c>
      <c r="S236" s="1"/>
      <c r="T236" s="1" t="s">
        <v>49</v>
      </c>
      <c r="U236" s="1"/>
      <c r="V236" s="1" t="s">
        <v>1524</v>
      </c>
      <c r="W236" s="1" t="s">
        <v>1525</v>
      </c>
      <c r="X236" s="1" t="s">
        <v>1526</v>
      </c>
      <c r="Y236" s="1"/>
    </row>
    <row r="237" spans="1:25" hidden="1">
      <c r="A237" s="1" t="s">
        <v>1527</v>
      </c>
      <c r="B237" s="1" t="s">
        <v>315</v>
      </c>
      <c r="C237" s="1" t="s">
        <v>448</v>
      </c>
      <c r="D237" s="1" t="s">
        <v>27</v>
      </c>
      <c r="E237" s="1" t="s">
        <v>449</v>
      </c>
      <c r="F237" s="1" t="s">
        <v>528</v>
      </c>
      <c r="G237" s="1" t="s">
        <v>470</v>
      </c>
      <c r="H237" s="1" t="s">
        <v>1528</v>
      </c>
      <c r="I237" s="1" t="s">
        <v>1529</v>
      </c>
      <c r="J237" s="1" t="s">
        <v>1530</v>
      </c>
      <c r="K237" s="1"/>
      <c r="L237" s="1"/>
      <c r="M237" s="1"/>
      <c r="N237" s="1" t="s">
        <v>419</v>
      </c>
      <c r="O237" s="1">
        <v>7</v>
      </c>
      <c r="P237" s="1" t="s">
        <v>528</v>
      </c>
      <c r="Q237" s="1" t="s">
        <v>316</v>
      </c>
      <c r="R237" s="1" t="s">
        <v>375</v>
      </c>
      <c r="S237" s="1"/>
      <c r="T237" s="1" t="s">
        <v>49</v>
      </c>
      <c r="U237" s="1" t="s">
        <v>470</v>
      </c>
      <c r="V237" s="1" t="s">
        <v>1529</v>
      </c>
      <c r="W237" s="1" t="s">
        <v>1530</v>
      </c>
      <c r="X237" s="1"/>
      <c r="Y237" s="1"/>
    </row>
    <row r="238" spans="1:25" ht="28.5" hidden="1">
      <c r="A238" s="1" t="s">
        <v>1531</v>
      </c>
      <c r="B238" s="1" t="s">
        <v>315</v>
      </c>
      <c r="C238" s="1" t="s">
        <v>448</v>
      </c>
      <c r="D238" s="1" t="s">
        <v>27</v>
      </c>
      <c r="E238" s="1" t="s">
        <v>449</v>
      </c>
      <c r="F238" s="1" t="s">
        <v>528</v>
      </c>
      <c r="G238" s="1" t="s">
        <v>475</v>
      </c>
      <c r="H238" s="1" t="s">
        <v>1532</v>
      </c>
      <c r="I238" s="1" t="s">
        <v>1533</v>
      </c>
      <c r="J238" s="1" t="s">
        <v>1534</v>
      </c>
      <c r="K238" s="1" t="s">
        <v>1535</v>
      </c>
      <c r="L238" s="1"/>
      <c r="M238" s="1"/>
      <c r="N238" s="1" t="s">
        <v>419</v>
      </c>
      <c r="O238" s="1">
        <v>8</v>
      </c>
      <c r="P238" s="1" t="s">
        <v>528</v>
      </c>
      <c r="Q238" s="1" t="s">
        <v>316</v>
      </c>
      <c r="R238" s="1" t="s">
        <v>375</v>
      </c>
      <c r="S238" s="1"/>
      <c r="T238" s="1" t="s">
        <v>49</v>
      </c>
      <c r="U238" s="1" t="s">
        <v>475</v>
      </c>
      <c r="V238" s="1" t="s">
        <v>1533</v>
      </c>
      <c r="W238" s="1" t="s">
        <v>1534</v>
      </c>
      <c r="X238" s="1" t="s">
        <v>1535</v>
      </c>
      <c r="Y238" s="1"/>
    </row>
    <row r="239" spans="1:25" ht="42.75" hidden="1">
      <c r="A239" s="1" t="s">
        <v>1536</v>
      </c>
      <c r="B239" s="1" t="s">
        <v>315</v>
      </c>
      <c r="C239" s="1" t="s">
        <v>448</v>
      </c>
      <c r="D239" s="1" t="s">
        <v>27</v>
      </c>
      <c r="E239" s="1" t="s">
        <v>449</v>
      </c>
      <c r="F239" s="1" t="s">
        <v>528</v>
      </c>
      <c r="G239" s="1" t="s">
        <v>481</v>
      </c>
      <c r="H239" s="1"/>
      <c r="I239" s="1" t="s">
        <v>1537</v>
      </c>
      <c r="J239" s="1" t="s">
        <v>1538</v>
      </c>
      <c r="K239" s="1"/>
      <c r="L239" s="1"/>
      <c r="M239" s="1"/>
      <c r="N239" s="1" t="s">
        <v>419</v>
      </c>
      <c r="O239" s="1">
        <v>9</v>
      </c>
      <c r="P239" s="1" t="s">
        <v>528</v>
      </c>
      <c r="Q239" s="1" t="s">
        <v>316</v>
      </c>
      <c r="R239" s="1" t="s">
        <v>375</v>
      </c>
      <c r="S239" s="1"/>
      <c r="T239" s="1" t="s">
        <v>49</v>
      </c>
      <c r="U239" s="1" t="s">
        <v>481</v>
      </c>
      <c r="V239" s="1" t="s">
        <v>1537</v>
      </c>
      <c r="W239" s="1" t="s">
        <v>1538</v>
      </c>
      <c r="X239" s="1"/>
      <c r="Y239" s="1"/>
    </row>
    <row r="240" spans="1:25" ht="42.75" hidden="1">
      <c r="A240" s="1" t="s">
        <v>1539</v>
      </c>
      <c r="B240" s="1"/>
      <c r="C240" s="1" t="s">
        <v>487</v>
      </c>
      <c r="D240" s="1" t="s">
        <v>36</v>
      </c>
      <c r="E240" s="1" t="s">
        <v>1209</v>
      </c>
      <c r="F240" s="1"/>
      <c r="G240" s="1"/>
      <c r="H240" s="1" t="s">
        <v>1540</v>
      </c>
      <c r="I240" s="1" t="s">
        <v>1541</v>
      </c>
      <c r="J240" s="1" t="s">
        <v>1542</v>
      </c>
      <c r="K240" s="1" t="s">
        <v>1543</v>
      </c>
      <c r="L240" s="1"/>
      <c r="M240" s="1"/>
      <c r="N240" s="1" t="s">
        <v>419</v>
      </c>
      <c r="O240" s="1">
        <v>13</v>
      </c>
      <c r="P240" s="1" t="s">
        <v>528</v>
      </c>
      <c r="Q240" s="1" t="s">
        <v>316</v>
      </c>
      <c r="R240" s="1" t="s">
        <v>375</v>
      </c>
      <c r="S240" s="1"/>
      <c r="T240" s="1" t="s">
        <v>49</v>
      </c>
      <c r="U240" s="1"/>
      <c r="V240" s="1" t="s">
        <v>1541</v>
      </c>
      <c r="W240" s="1" t="s">
        <v>1542</v>
      </c>
      <c r="X240" s="1" t="s">
        <v>1543</v>
      </c>
      <c r="Y240" s="1" t="s">
        <v>1214</v>
      </c>
    </row>
    <row r="241" spans="1:25" ht="42.75" hidden="1">
      <c r="A241" s="1" t="s">
        <v>1544</v>
      </c>
      <c r="B241" s="1"/>
      <c r="C241" s="1" t="s">
        <v>487</v>
      </c>
      <c r="D241" s="1" t="s">
        <v>36</v>
      </c>
      <c r="E241" s="1" t="s">
        <v>1209</v>
      </c>
      <c r="F241" s="1"/>
      <c r="G241" s="1"/>
      <c r="H241" s="1"/>
      <c r="I241" s="1" t="s">
        <v>1545</v>
      </c>
      <c r="J241" s="1" t="s">
        <v>1534</v>
      </c>
      <c r="K241" s="1" t="s">
        <v>1535</v>
      </c>
      <c r="L241" s="1"/>
      <c r="M241" s="1"/>
      <c r="N241" s="1" t="s">
        <v>419</v>
      </c>
      <c r="O241" s="1">
        <v>14</v>
      </c>
      <c r="P241" s="1" t="s">
        <v>528</v>
      </c>
      <c r="Q241" s="1" t="s">
        <v>316</v>
      </c>
      <c r="R241" s="1" t="s">
        <v>375</v>
      </c>
      <c r="S241" s="1"/>
      <c r="T241" s="1" t="s">
        <v>49</v>
      </c>
      <c r="U241" s="1"/>
      <c r="V241" s="1" t="s">
        <v>1545</v>
      </c>
      <c r="W241" s="1" t="s">
        <v>1534</v>
      </c>
      <c r="X241" s="1" t="s">
        <v>1535</v>
      </c>
      <c r="Y241" s="1" t="s">
        <v>1214</v>
      </c>
    </row>
    <row r="242" spans="1:25" ht="42.75" hidden="1">
      <c r="A242" s="1" t="s">
        <v>1546</v>
      </c>
      <c r="B242" s="1"/>
      <c r="C242" s="1" t="s">
        <v>487</v>
      </c>
      <c r="D242" s="1" t="s">
        <v>36</v>
      </c>
      <c r="E242" s="1" t="s">
        <v>1209</v>
      </c>
      <c r="F242" s="1"/>
      <c r="G242" s="1"/>
      <c r="H242" s="1"/>
      <c r="I242" s="1" t="s">
        <v>1547</v>
      </c>
      <c r="J242" s="1" t="s">
        <v>1548</v>
      </c>
      <c r="K242" s="1" t="s">
        <v>1549</v>
      </c>
      <c r="L242" s="1"/>
      <c r="M242" s="1"/>
      <c r="N242" s="1" t="s">
        <v>419</v>
      </c>
      <c r="O242" s="1">
        <v>15</v>
      </c>
      <c r="P242" s="1" t="s">
        <v>528</v>
      </c>
      <c r="Q242" s="1" t="s">
        <v>316</v>
      </c>
      <c r="R242" s="1" t="s">
        <v>375</v>
      </c>
      <c r="S242" s="1"/>
      <c r="T242" s="1" t="s">
        <v>49</v>
      </c>
      <c r="U242" s="1"/>
      <c r="V242" s="1" t="s">
        <v>1547</v>
      </c>
      <c r="W242" s="1" t="s">
        <v>1548</v>
      </c>
      <c r="X242" s="1" t="s">
        <v>1549</v>
      </c>
      <c r="Y242" s="1" t="s">
        <v>1214</v>
      </c>
    </row>
    <row r="243" spans="1:25" ht="28.5" hidden="1">
      <c r="A243" s="1" t="s">
        <v>1550</v>
      </c>
      <c r="B243" s="1" t="s">
        <v>297</v>
      </c>
      <c r="C243" s="1" t="s">
        <v>448</v>
      </c>
      <c r="D243" s="1" t="s">
        <v>27</v>
      </c>
      <c r="E243" s="1" t="s">
        <v>449</v>
      </c>
      <c r="F243" s="1" t="s">
        <v>528</v>
      </c>
      <c r="G243" s="1" t="s">
        <v>833</v>
      </c>
      <c r="H243" s="1" t="s">
        <v>1551</v>
      </c>
      <c r="I243" s="1" t="s">
        <v>1552</v>
      </c>
      <c r="J243" s="1" t="s">
        <v>1553</v>
      </c>
      <c r="K243" s="1" t="s">
        <v>1554</v>
      </c>
      <c r="L243" s="1"/>
      <c r="M243" s="1"/>
      <c r="N243" s="1" t="s">
        <v>417</v>
      </c>
      <c r="O243" s="1">
        <v>7</v>
      </c>
      <c r="P243" s="1" t="s">
        <v>528</v>
      </c>
      <c r="Q243" s="1" t="s">
        <v>298</v>
      </c>
      <c r="R243" s="1" t="s">
        <v>375</v>
      </c>
      <c r="S243" s="1"/>
      <c r="T243" s="1" t="s">
        <v>33</v>
      </c>
      <c r="U243" s="1" t="s">
        <v>833</v>
      </c>
      <c r="V243" s="1" t="s">
        <v>1552</v>
      </c>
      <c r="W243" s="1" t="s">
        <v>1553</v>
      </c>
      <c r="X243" s="1" t="s">
        <v>1554</v>
      </c>
      <c r="Y243" s="1"/>
    </row>
    <row r="244" spans="1:25" ht="28.5" hidden="1">
      <c r="A244" s="1" t="s">
        <v>1555</v>
      </c>
      <c r="B244" s="1" t="s">
        <v>324</v>
      </c>
      <c r="C244" s="1" t="s">
        <v>448</v>
      </c>
      <c r="D244" s="1" t="s">
        <v>27</v>
      </c>
      <c r="E244" s="1" t="s">
        <v>449</v>
      </c>
      <c r="F244" s="1" t="s">
        <v>528</v>
      </c>
      <c r="G244" s="1" t="s">
        <v>451</v>
      </c>
      <c r="H244" s="1" t="s">
        <v>1556</v>
      </c>
      <c r="I244" s="1" t="s">
        <v>1557</v>
      </c>
      <c r="J244" s="1" t="s">
        <v>1558</v>
      </c>
      <c r="K244" s="1"/>
      <c r="L244" s="1"/>
      <c r="M244" s="1"/>
      <c r="N244" s="1" t="s">
        <v>417</v>
      </c>
      <c r="O244" s="1">
        <v>8</v>
      </c>
      <c r="P244" s="1" t="s">
        <v>528</v>
      </c>
      <c r="Q244" s="1" t="s">
        <v>298</v>
      </c>
      <c r="R244" s="1" t="s">
        <v>375</v>
      </c>
      <c r="S244" s="1"/>
      <c r="T244" s="1" t="s">
        <v>33</v>
      </c>
      <c r="U244" s="1" t="s">
        <v>451</v>
      </c>
      <c r="V244" s="1" t="s">
        <v>1557</v>
      </c>
      <c r="W244" s="1" t="s">
        <v>1558</v>
      </c>
      <c r="X244" s="1"/>
      <c r="Y244" s="1"/>
    </row>
    <row r="245" spans="1:25" ht="28.5" hidden="1">
      <c r="A245" s="1" t="s">
        <v>1559</v>
      </c>
      <c r="B245" s="1" t="s">
        <v>324</v>
      </c>
      <c r="C245" s="1" t="s">
        <v>448</v>
      </c>
      <c r="D245" s="1" t="s">
        <v>27</v>
      </c>
      <c r="E245" s="1" t="s">
        <v>449</v>
      </c>
      <c r="F245" s="1" t="s">
        <v>528</v>
      </c>
      <c r="G245" s="1" t="s">
        <v>458</v>
      </c>
      <c r="H245" s="1" t="s">
        <v>1560</v>
      </c>
      <c r="I245" s="1" t="s">
        <v>1561</v>
      </c>
      <c r="J245" s="1" t="s">
        <v>1562</v>
      </c>
      <c r="K245" s="1" t="s">
        <v>1563</v>
      </c>
      <c r="L245" s="1"/>
      <c r="M245" s="1"/>
      <c r="N245" s="1" t="s">
        <v>417</v>
      </c>
      <c r="O245" s="1">
        <v>9</v>
      </c>
      <c r="P245" s="1" t="s">
        <v>528</v>
      </c>
      <c r="Q245" s="1" t="s">
        <v>298</v>
      </c>
      <c r="R245" s="1" t="s">
        <v>375</v>
      </c>
      <c r="S245" s="1"/>
      <c r="T245" s="1" t="s">
        <v>33</v>
      </c>
      <c r="U245" s="1" t="s">
        <v>458</v>
      </c>
      <c r="V245" s="1" t="s">
        <v>1561</v>
      </c>
      <c r="W245" s="1" t="s">
        <v>1562</v>
      </c>
      <c r="X245" s="1" t="s">
        <v>1563</v>
      </c>
      <c r="Y245" s="1"/>
    </row>
    <row r="246" spans="1:25" ht="28.5" hidden="1">
      <c r="A246" s="1" t="s">
        <v>1564</v>
      </c>
      <c r="B246" s="1"/>
      <c r="C246" s="1" t="s">
        <v>487</v>
      </c>
      <c r="D246" s="1" t="s">
        <v>27</v>
      </c>
      <c r="E246" s="1" t="s">
        <v>449</v>
      </c>
      <c r="F246" s="1" t="s">
        <v>488</v>
      </c>
      <c r="G246" s="1"/>
      <c r="H246" s="1" t="s">
        <v>1565</v>
      </c>
      <c r="I246" s="1" t="s">
        <v>1566</v>
      </c>
      <c r="J246" s="1" t="s">
        <v>1567</v>
      </c>
      <c r="K246" s="1" t="s">
        <v>1568</v>
      </c>
      <c r="L246" s="1"/>
      <c r="M246" s="1"/>
      <c r="N246" s="1" t="s">
        <v>417</v>
      </c>
      <c r="O246" s="1">
        <v>18</v>
      </c>
      <c r="P246" s="1" t="s">
        <v>528</v>
      </c>
      <c r="Q246" s="1" t="s">
        <v>298</v>
      </c>
      <c r="R246" s="1" t="s">
        <v>375</v>
      </c>
      <c r="S246" s="1"/>
      <c r="T246" s="1" t="s">
        <v>33</v>
      </c>
      <c r="U246" s="1"/>
      <c r="V246" s="1" t="s">
        <v>1566</v>
      </c>
      <c r="W246" s="1" t="s">
        <v>1567</v>
      </c>
      <c r="X246" s="1" t="s">
        <v>1568</v>
      </c>
      <c r="Y246" s="1"/>
    </row>
    <row r="247" spans="1:25" ht="28.5" hidden="1">
      <c r="A247" s="1" t="s">
        <v>1569</v>
      </c>
      <c r="B247" s="1"/>
      <c r="C247" s="1" t="s">
        <v>487</v>
      </c>
      <c r="D247" s="1" t="s">
        <v>27</v>
      </c>
      <c r="E247" s="1" t="s">
        <v>449</v>
      </c>
      <c r="F247" s="1" t="s">
        <v>488</v>
      </c>
      <c r="G247" s="1"/>
      <c r="H247" s="1"/>
      <c r="I247" s="1" t="s">
        <v>1570</v>
      </c>
      <c r="J247" s="1" t="s">
        <v>1571</v>
      </c>
      <c r="K247" s="1" t="s">
        <v>462</v>
      </c>
      <c r="L247" s="1"/>
      <c r="M247" s="1"/>
      <c r="N247" s="1" t="s">
        <v>417</v>
      </c>
      <c r="O247" s="1">
        <v>19</v>
      </c>
      <c r="P247" s="1" t="s">
        <v>528</v>
      </c>
      <c r="Q247" s="1" t="s">
        <v>298</v>
      </c>
      <c r="R247" s="1" t="s">
        <v>375</v>
      </c>
      <c r="S247" s="1"/>
      <c r="T247" s="1" t="s">
        <v>33</v>
      </c>
      <c r="U247" s="1"/>
      <c r="V247" s="1" t="s">
        <v>1570</v>
      </c>
      <c r="W247" s="1" t="s">
        <v>1571</v>
      </c>
      <c r="X247" s="1" t="s">
        <v>462</v>
      </c>
      <c r="Y247" s="1"/>
    </row>
    <row r="248" spans="1:25" ht="28.5" hidden="1">
      <c r="A248" s="1" t="s">
        <v>1572</v>
      </c>
      <c r="B248" s="1" t="s">
        <v>112</v>
      </c>
      <c r="C248" s="1" t="s">
        <v>448</v>
      </c>
      <c r="D248" s="1" t="s">
        <v>27</v>
      </c>
      <c r="E248" s="1" t="s">
        <v>449</v>
      </c>
      <c r="F248" s="1" t="s">
        <v>498</v>
      </c>
      <c r="G248" s="1" t="s">
        <v>529</v>
      </c>
      <c r="H248" s="1" t="s">
        <v>1573</v>
      </c>
      <c r="I248" s="1" t="s">
        <v>1574</v>
      </c>
      <c r="J248" s="1" t="s">
        <v>1026</v>
      </c>
      <c r="K248" s="1" t="s">
        <v>1575</v>
      </c>
      <c r="L248" s="1"/>
      <c r="M248" s="1"/>
      <c r="N248" s="1" t="s">
        <v>379</v>
      </c>
      <c r="O248" s="1">
        <v>8</v>
      </c>
      <c r="P248" s="1" t="s">
        <v>498</v>
      </c>
      <c r="Q248" s="1" t="s">
        <v>113</v>
      </c>
      <c r="R248" s="1" t="s">
        <v>375</v>
      </c>
      <c r="S248" s="1"/>
      <c r="T248" s="1" t="s">
        <v>33</v>
      </c>
      <c r="U248" s="1" t="s">
        <v>529</v>
      </c>
      <c r="V248" s="1" t="s">
        <v>1574</v>
      </c>
      <c r="W248" s="1" t="s">
        <v>1026</v>
      </c>
      <c r="X248" s="1" t="s">
        <v>1575</v>
      </c>
      <c r="Y248" s="1"/>
    </row>
    <row r="249" spans="1:25" ht="57" hidden="1">
      <c r="A249" s="1" t="s">
        <v>1576</v>
      </c>
      <c r="B249" s="1" t="s">
        <v>112</v>
      </c>
      <c r="C249" s="1" t="s">
        <v>448</v>
      </c>
      <c r="D249" s="1" t="s">
        <v>27</v>
      </c>
      <c r="E249" s="1" t="s">
        <v>449</v>
      </c>
      <c r="F249" s="1" t="s">
        <v>498</v>
      </c>
      <c r="G249" s="1" t="s">
        <v>1577</v>
      </c>
      <c r="H249" s="1" t="s">
        <v>1578</v>
      </c>
      <c r="I249" s="1" t="s">
        <v>1579</v>
      </c>
      <c r="J249" s="1" t="s">
        <v>1580</v>
      </c>
      <c r="K249" s="1" t="s">
        <v>1581</v>
      </c>
      <c r="L249" s="1"/>
      <c r="M249" s="1"/>
      <c r="N249" s="1" t="s">
        <v>379</v>
      </c>
      <c r="O249" s="1">
        <v>9</v>
      </c>
      <c r="P249" s="1" t="s">
        <v>498</v>
      </c>
      <c r="Q249" s="1" t="s">
        <v>113</v>
      </c>
      <c r="R249" s="1" t="s">
        <v>375</v>
      </c>
      <c r="S249" s="1"/>
      <c r="T249" s="1" t="s">
        <v>33</v>
      </c>
      <c r="U249" s="1" t="s">
        <v>1577</v>
      </c>
      <c r="V249" s="1" t="s">
        <v>1579</v>
      </c>
      <c r="W249" s="1" t="s">
        <v>1580</v>
      </c>
      <c r="X249" s="1" t="s">
        <v>1581</v>
      </c>
      <c r="Y249" s="1"/>
    </row>
    <row r="250" spans="1:25" ht="42.75" hidden="1">
      <c r="A250" s="1" t="s">
        <v>1582</v>
      </c>
      <c r="B250" s="1" t="s">
        <v>112</v>
      </c>
      <c r="C250" s="1" t="s">
        <v>448</v>
      </c>
      <c r="D250" s="1" t="s">
        <v>27</v>
      </c>
      <c r="E250" s="1" t="s">
        <v>449</v>
      </c>
      <c r="F250" s="1" t="s">
        <v>498</v>
      </c>
      <c r="G250" s="1" t="s">
        <v>1583</v>
      </c>
      <c r="H250" s="1" t="s">
        <v>1584</v>
      </c>
      <c r="I250" s="1" t="s">
        <v>1585</v>
      </c>
      <c r="J250" s="1" t="s">
        <v>1586</v>
      </c>
      <c r="K250" s="1" t="s">
        <v>1587</v>
      </c>
      <c r="L250" s="1"/>
      <c r="M250" s="1"/>
      <c r="N250" s="1" t="s">
        <v>379</v>
      </c>
      <c r="O250" s="1">
        <v>10</v>
      </c>
      <c r="P250" s="1" t="s">
        <v>498</v>
      </c>
      <c r="Q250" s="1" t="s">
        <v>113</v>
      </c>
      <c r="R250" s="1" t="s">
        <v>375</v>
      </c>
      <c r="S250" s="1"/>
      <c r="T250" s="1" t="s">
        <v>33</v>
      </c>
      <c r="U250" s="1" t="s">
        <v>1583</v>
      </c>
      <c r="V250" s="1" t="s">
        <v>1585</v>
      </c>
      <c r="W250" s="1" t="s">
        <v>1586</v>
      </c>
      <c r="X250" s="1" t="s">
        <v>1587</v>
      </c>
      <c r="Y250" s="1"/>
    </row>
    <row r="251" spans="1:25" ht="28.5" hidden="1">
      <c r="A251" s="1" t="s">
        <v>1588</v>
      </c>
      <c r="B251" s="1" t="s">
        <v>112</v>
      </c>
      <c r="C251" s="1" t="s">
        <v>448</v>
      </c>
      <c r="D251" s="1" t="s">
        <v>27</v>
      </c>
      <c r="E251" s="1" t="s">
        <v>449</v>
      </c>
      <c r="F251" s="1" t="s">
        <v>498</v>
      </c>
      <c r="G251" s="1" t="s">
        <v>1589</v>
      </c>
      <c r="H251" s="1" t="s">
        <v>1590</v>
      </c>
      <c r="I251" s="1" t="s">
        <v>1591</v>
      </c>
      <c r="J251" s="1" t="s">
        <v>1592</v>
      </c>
      <c r="K251" s="1" t="s">
        <v>1593</v>
      </c>
      <c r="L251" s="1"/>
      <c r="M251" s="1"/>
      <c r="N251" s="1" t="s">
        <v>379</v>
      </c>
      <c r="O251" s="1">
        <v>11</v>
      </c>
      <c r="P251" s="1" t="s">
        <v>498</v>
      </c>
      <c r="Q251" s="1" t="s">
        <v>113</v>
      </c>
      <c r="R251" s="1" t="s">
        <v>375</v>
      </c>
      <c r="S251" s="1"/>
      <c r="T251" s="1" t="s">
        <v>33</v>
      </c>
      <c r="U251" s="1" t="s">
        <v>1589</v>
      </c>
      <c r="V251" s="1" t="s">
        <v>1591</v>
      </c>
      <c r="W251" s="1" t="s">
        <v>1592</v>
      </c>
      <c r="X251" s="1" t="s">
        <v>1593</v>
      </c>
      <c r="Y251" s="1"/>
    </row>
    <row r="252" spans="1:25" ht="28.5" hidden="1">
      <c r="A252" s="1" t="s">
        <v>1594</v>
      </c>
      <c r="B252" s="1" t="s">
        <v>112</v>
      </c>
      <c r="C252" s="1" t="s">
        <v>448</v>
      </c>
      <c r="D252" s="1" t="s">
        <v>27</v>
      </c>
      <c r="E252" s="1" t="s">
        <v>449</v>
      </c>
      <c r="F252" s="1" t="s">
        <v>498</v>
      </c>
      <c r="G252" s="1" t="s">
        <v>1595</v>
      </c>
      <c r="H252" s="1" t="s">
        <v>1596</v>
      </c>
      <c r="I252" s="1" t="s">
        <v>1597</v>
      </c>
      <c r="J252" s="1" t="s">
        <v>1598</v>
      </c>
      <c r="K252" s="1" t="s">
        <v>1599</v>
      </c>
      <c r="L252" s="1"/>
      <c r="M252" s="1"/>
      <c r="N252" s="1" t="s">
        <v>379</v>
      </c>
      <c r="O252" s="1">
        <v>12</v>
      </c>
      <c r="P252" s="1" t="s">
        <v>498</v>
      </c>
      <c r="Q252" s="1" t="s">
        <v>113</v>
      </c>
      <c r="R252" s="1" t="s">
        <v>375</v>
      </c>
      <c r="S252" s="1"/>
      <c r="T252" s="1" t="s">
        <v>33</v>
      </c>
      <c r="U252" s="1" t="s">
        <v>1595</v>
      </c>
      <c r="V252" s="1" t="s">
        <v>1597</v>
      </c>
      <c r="W252" s="1" t="s">
        <v>1598</v>
      </c>
      <c r="X252" s="1" t="s">
        <v>1599</v>
      </c>
      <c r="Y252" s="1"/>
    </row>
    <row r="253" spans="1:25" ht="28.5" hidden="1">
      <c r="A253" s="1" t="s">
        <v>1600</v>
      </c>
      <c r="B253" s="1" t="s">
        <v>112</v>
      </c>
      <c r="C253" s="1" t="s">
        <v>448</v>
      </c>
      <c r="D253" s="1" t="s">
        <v>27</v>
      </c>
      <c r="E253" s="1" t="s">
        <v>449</v>
      </c>
      <c r="F253" s="1" t="s">
        <v>498</v>
      </c>
      <c r="G253" s="1" t="s">
        <v>1601</v>
      </c>
      <c r="H253" s="1" t="s">
        <v>1602</v>
      </c>
      <c r="I253" s="1" t="s">
        <v>1603</v>
      </c>
      <c r="J253" s="1" t="s">
        <v>1604</v>
      </c>
      <c r="K253" s="1" t="s">
        <v>1605</v>
      </c>
      <c r="L253" s="1"/>
      <c r="M253" s="1"/>
      <c r="N253" s="1" t="s">
        <v>379</v>
      </c>
      <c r="O253" s="1">
        <v>13</v>
      </c>
      <c r="P253" s="1" t="s">
        <v>498</v>
      </c>
      <c r="Q253" s="1" t="s">
        <v>113</v>
      </c>
      <c r="R253" s="1" t="s">
        <v>375</v>
      </c>
      <c r="S253" s="1"/>
      <c r="T253" s="1" t="s">
        <v>33</v>
      </c>
      <c r="U253" s="1" t="s">
        <v>1601</v>
      </c>
      <c r="V253" s="1" t="s">
        <v>1603</v>
      </c>
      <c r="W253" s="1" t="s">
        <v>1604</v>
      </c>
      <c r="X253" s="1" t="s">
        <v>1605</v>
      </c>
      <c r="Y253" s="1"/>
    </row>
    <row r="254" spans="1:25" ht="42.75" hidden="1">
      <c r="A254" s="1" t="s">
        <v>1606</v>
      </c>
      <c r="B254" s="1" t="s">
        <v>112</v>
      </c>
      <c r="C254" s="1" t="s">
        <v>448</v>
      </c>
      <c r="D254" s="1" t="s">
        <v>27</v>
      </c>
      <c r="E254" s="1" t="s">
        <v>449</v>
      </c>
      <c r="F254" s="1" t="s">
        <v>498</v>
      </c>
      <c r="G254" s="1" t="s">
        <v>1607</v>
      </c>
      <c r="H254" s="1" t="s">
        <v>1608</v>
      </c>
      <c r="I254" s="1" t="s">
        <v>1609</v>
      </c>
      <c r="J254" s="1" t="s">
        <v>1389</v>
      </c>
      <c r="K254" s="1" t="s">
        <v>1610</v>
      </c>
      <c r="L254" s="1"/>
      <c r="M254" s="1"/>
      <c r="N254" s="1" t="s">
        <v>379</v>
      </c>
      <c r="O254" s="1">
        <v>14</v>
      </c>
      <c r="P254" s="1" t="s">
        <v>498</v>
      </c>
      <c r="Q254" s="1" t="s">
        <v>113</v>
      </c>
      <c r="R254" s="1" t="s">
        <v>375</v>
      </c>
      <c r="S254" s="1"/>
      <c r="T254" s="1" t="s">
        <v>33</v>
      </c>
      <c r="U254" s="1" t="s">
        <v>1607</v>
      </c>
      <c r="V254" s="1" t="s">
        <v>1609</v>
      </c>
      <c r="W254" s="1" t="s">
        <v>1389</v>
      </c>
      <c r="X254" s="1" t="s">
        <v>1610</v>
      </c>
      <c r="Y254" s="1"/>
    </row>
    <row r="255" spans="1:25" ht="42.75" hidden="1">
      <c r="A255" s="1" t="s">
        <v>1611</v>
      </c>
      <c r="B255" s="1" t="s">
        <v>112</v>
      </c>
      <c r="C255" s="1" t="s">
        <v>448</v>
      </c>
      <c r="D255" s="1" t="s">
        <v>27</v>
      </c>
      <c r="E255" s="1" t="s">
        <v>449</v>
      </c>
      <c r="F255" s="1" t="s">
        <v>498</v>
      </c>
      <c r="G255" s="1" t="s">
        <v>1612</v>
      </c>
      <c r="H255" s="1" t="s">
        <v>1613</v>
      </c>
      <c r="I255" s="1" t="s">
        <v>1614</v>
      </c>
      <c r="J255" s="1" t="s">
        <v>1615</v>
      </c>
      <c r="K255" s="1" t="s">
        <v>1616</v>
      </c>
      <c r="L255" s="1"/>
      <c r="M255" s="1"/>
      <c r="N255" s="1" t="s">
        <v>379</v>
      </c>
      <c r="O255" s="1">
        <v>15</v>
      </c>
      <c r="P255" s="1" t="s">
        <v>498</v>
      </c>
      <c r="Q255" s="1" t="s">
        <v>113</v>
      </c>
      <c r="R255" s="1" t="s">
        <v>375</v>
      </c>
      <c r="S255" s="1"/>
      <c r="T255" s="1" t="s">
        <v>33</v>
      </c>
      <c r="U255" s="1" t="s">
        <v>1612</v>
      </c>
      <c r="V255" s="1" t="s">
        <v>1614</v>
      </c>
      <c r="W255" s="1" t="s">
        <v>1615</v>
      </c>
      <c r="X255" s="1" t="s">
        <v>1616</v>
      </c>
      <c r="Y255" s="1"/>
    </row>
    <row r="256" spans="1:25" ht="28.5" hidden="1">
      <c r="A256" s="1" t="s">
        <v>1617</v>
      </c>
      <c r="B256" s="1"/>
      <c r="C256" s="1" t="s">
        <v>487</v>
      </c>
      <c r="D256" s="1" t="s">
        <v>27</v>
      </c>
      <c r="E256" s="1" t="s">
        <v>449</v>
      </c>
      <c r="F256" s="1" t="s">
        <v>488</v>
      </c>
      <c r="G256" s="1"/>
      <c r="H256" s="1" t="s">
        <v>1618</v>
      </c>
      <c r="I256" s="1" t="s">
        <v>1619</v>
      </c>
      <c r="J256" s="1" t="s">
        <v>1620</v>
      </c>
      <c r="K256" s="1"/>
      <c r="L256" s="1"/>
      <c r="M256" s="1"/>
      <c r="N256" s="1" t="s">
        <v>379</v>
      </c>
      <c r="O256" s="1">
        <v>22</v>
      </c>
      <c r="P256" s="1" t="s">
        <v>498</v>
      </c>
      <c r="Q256" s="1" t="s">
        <v>113</v>
      </c>
      <c r="R256" s="1" t="s">
        <v>375</v>
      </c>
      <c r="S256" s="1"/>
      <c r="T256" s="1" t="s">
        <v>33</v>
      </c>
      <c r="U256" s="1"/>
      <c r="V256" s="1" t="s">
        <v>1619</v>
      </c>
      <c r="W256" s="1" t="s">
        <v>1620</v>
      </c>
      <c r="X256" s="1"/>
      <c r="Y256" s="1"/>
    </row>
    <row r="257" spans="1:25" ht="28.5" hidden="1">
      <c r="A257" s="1" t="s">
        <v>1621</v>
      </c>
      <c r="B257" s="1"/>
      <c r="C257" s="1" t="s">
        <v>487</v>
      </c>
      <c r="D257" s="1" t="s">
        <v>27</v>
      </c>
      <c r="E257" s="1" t="s">
        <v>449</v>
      </c>
      <c r="F257" s="1" t="s">
        <v>488</v>
      </c>
      <c r="G257" s="1"/>
      <c r="H257" s="1" t="s">
        <v>1622</v>
      </c>
      <c r="I257" s="1" t="s">
        <v>1623</v>
      </c>
      <c r="J257" s="1" t="s">
        <v>1624</v>
      </c>
      <c r="K257" s="1" t="s">
        <v>1625</v>
      </c>
      <c r="L257" s="1"/>
      <c r="M257" s="1"/>
      <c r="N257" s="1" t="s">
        <v>379</v>
      </c>
      <c r="O257" s="1">
        <v>23</v>
      </c>
      <c r="P257" s="1" t="s">
        <v>498</v>
      </c>
      <c r="Q257" s="1" t="s">
        <v>113</v>
      </c>
      <c r="R257" s="1" t="s">
        <v>375</v>
      </c>
      <c r="S257" s="1"/>
      <c r="T257" s="1" t="s">
        <v>33</v>
      </c>
      <c r="U257" s="1"/>
      <c r="V257" s="1" t="s">
        <v>1623</v>
      </c>
      <c r="W257" s="1" t="s">
        <v>1624</v>
      </c>
      <c r="X257" s="1" t="s">
        <v>1625</v>
      </c>
      <c r="Y257" s="1"/>
    </row>
    <row r="258" spans="1:25" ht="42.75" hidden="1">
      <c r="A258" s="1" t="s">
        <v>1626</v>
      </c>
      <c r="B258" s="1"/>
      <c r="C258" s="1" t="s">
        <v>487</v>
      </c>
      <c r="D258" s="1" t="s">
        <v>27</v>
      </c>
      <c r="E258" s="1" t="s">
        <v>449</v>
      </c>
      <c r="F258" s="1" t="s">
        <v>488</v>
      </c>
      <c r="G258" s="1"/>
      <c r="H258" s="1" t="s">
        <v>1627</v>
      </c>
      <c r="I258" s="1" t="s">
        <v>1628</v>
      </c>
      <c r="J258" s="1" t="s">
        <v>1629</v>
      </c>
      <c r="K258" s="1" t="s">
        <v>1630</v>
      </c>
      <c r="L258" s="1"/>
      <c r="M258" s="1"/>
      <c r="N258" s="1" t="s">
        <v>379</v>
      </c>
      <c r="O258" s="1">
        <v>24</v>
      </c>
      <c r="P258" s="1" t="s">
        <v>498</v>
      </c>
      <c r="Q258" s="1" t="s">
        <v>113</v>
      </c>
      <c r="R258" s="1" t="s">
        <v>375</v>
      </c>
      <c r="S258" s="1"/>
      <c r="T258" s="1" t="s">
        <v>33</v>
      </c>
      <c r="U258" s="1"/>
      <c r="V258" s="1" t="s">
        <v>1628</v>
      </c>
      <c r="W258" s="1" t="s">
        <v>1629</v>
      </c>
      <c r="X258" s="1" t="s">
        <v>1630</v>
      </c>
      <c r="Y258" s="1"/>
    </row>
    <row r="259" spans="1:25" ht="42.75" hidden="1">
      <c r="A259" s="1" t="s">
        <v>1631</v>
      </c>
      <c r="B259" s="1"/>
      <c r="C259" s="1" t="s">
        <v>487</v>
      </c>
      <c r="D259" s="1" t="s">
        <v>27</v>
      </c>
      <c r="E259" s="1" t="s">
        <v>449</v>
      </c>
      <c r="F259" s="1" t="s">
        <v>488</v>
      </c>
      <c r="G259" s="1"/>
      <c r="H259" s="1" t="s">
        <v>1632</v>
      </c>
      <c r="I259" s="1" t="s">
        <v>1633</v>
      </c>
      <c r="J259" s="1" t="s">
        <v>1634</v>
      </c>
      <c r="K259" s="1" t="s">
        <v>1635</v>
      </c>
      <c r="L259" s="1"/>
      <c r="M259" s="1"/>
      <c r="N259" s="1" t="s">
        <v>379</v>
      </c>
      <c r="O259" s="1">
        <v>25</v>
      </c>
      <c r="P259" s="1" t="s">
        <v>498</v>
      </c>
      <c r="Q259" s="1" t="s">
        <v>113</v>
      </c>
      <c r="R259" s="1" t="s">
        <v>375</v>
      </c>
      <c r="S259" s="1"/>
      <c r="T259" s="1" t="s">
        <v>33</v>
      </c>
      <c r="U259" s="1"/>
      <c r="V259" s="1" t="s">
        <v>1633</v>
      </c>
      <c r="W259" s="1" t="s">
        <v>1634</v>
      </c>
      <c r="X259" s="1" t="s">
        <v>1635</v>
      </c>
      <c r="Y259" s="1"/>
    </row>
    <row r="260" spans="1:25" ht="28.5" hidden="1">
      <c r="A260" s="1" t="s">
        <v>1636</v>
      </c>
      <c r="B260" s="1"/>
      <c r="C260" s="1" t="s">
        <v>487</v>
      </c>
      <c r="D260" s="1" t="s">
        <v>27</v>
      </c>
      <c r="E260" s="1" t="s">
        <v>449</v>
      </c>
      <c r="F260" s="1" t="s">
        <v>488</v>
      </c>
      <c r="G260" s="1"/>
      <c r="H260" s="1" t="s">
        <v>1637</v>
      </c>
      <c r="I260" s="1" t="s">
        <v>1638</v>
      </c>
      <c r="J260" s="1" t="s">
        <v>1639</v>
      </c>
      <c r="K260" s="1" t="s">
        <v>1640</v>
      </c>
      <c r="L260" s="1"/>
      <c r="M260" s="1"/>
      <c r="N260" s="1" t="s">
        <v>379</v>
      </c>
      <c r="O260" s="1">
        <v>26</v>
      </c>
      <c r="P260" s="1" t="s">
        <v>498</v>
      </c>
      <c r="Q260" s="1" t="s">
        <v>113</v>
      </c>
      <c r="R260" s="1" t="s">
        <v>375</v>
      </c>
      <c r="S260" s="1"/>
      <c r="T260" s="1" t="s">
        <v>33</v>
      </c>
      <c r="U260" s="1"/>
      <c r="V260" s="1" t="s">
        <v>1638</v>
      </c>
      <c r="W260" s="1" t="s">
        <v>1639</v>
      </c>
      <c r="X260" s="1" t="s">
        <v>1640</v>
      </c>
      <c r="Y260" s="1"/>
    </row>
    <row r="261" spans="1:25" ht="42.75" hidden="1">
      <c r="A261" s="1" t="s">
        <v>1641</v>
      </c>
      <c r="B261" s="1"/>
      <c r="C261" s="1" t="s">
        <v>487</v>
      </c>
      <c r="D261" s="1" t="s">
        <v>27</v>
      </c>
      <c r="E261" s="1" t="s">
        <v>449</v>
      </c>
      <c r="F261" s="1" t="s">
        <v>488</v>
      </c>
      <c r="G261" s="1"/>
      <c r="H261" s="1" t="s">
        <v>1642</v>
      </c>
      <c r="I261" s="1" t="s">
        <v>1643</v>
      </c>
      <c r="J261" s="1" t="s">
        <v>1644</v>
      </c>
      <c r="K261" s="1" t="s">
        <v>1645</v>
      </c>
      <c r="L261" s="1"/>
      <c r="M261" s="1"/>
      <c r="N261" s="1" t="s">
        <v>379</v>
      </c>
      <c r="O261" s="1">
        <v>27</v>
      </c>
      <c r="P261" s="1" t="s">
        <v>498</v>
      </c>
      <c r="Q261" s="1" t="s">
        <v>113</v>
      </c>
      <c r="R261" s="1" t="s">
        <v>375</v>
      </c>
      <c r="S261" s="1"/>
      <c r="T261" s="1" t="s">
        <v>33</v>
      </c>
      <c r="U261" s="1"/>
      <c r="V261" s="1" t="s">
        <v>1643</v>
      </c>
      <c r="W261" s="1" t="s">
        <v>1644</v>
      </c>
      <c r="X261" s="1" t="s">
        <v>1645</v>
      </c>
      <c r="Y261" s="1"/>
    </row>
    <row r="262" spans="1:25" ht="42.75" hidden="1">
      <c r="A262" s="1" t="s">
        <v>1646</v>
      </c>
      <c r="B262" s="1"/>
      <c r="C262" s="1" t="s">
        <v>487</v>
      </c>
      <c r="D262" s="1" t="s">
        <v>27</v>
      </c>
      <c r="E262" s="1" t="s">
        <v>449</v>
      </c>
      <c r="F262" s="1" t="s">
        <v>488</v>
      </c>
      <c r="G262" s="1"/>
      <c r="H262" s="1"/>
      <c r="I262" s="1" t="s">
        <v>1647</v>
      </c>
      <c r="J262" s="1" t="s">
        <v>1534</v>
      </c>
      <c r="K262" s="1" t="s">
        <v>1648</v>
      </c>
      <c r="L262" s="1"/>
      <c r="M262" s="1"/>
      <c r="N262" s="1" t="s">
        <v>379</v>
      </c>
      <c r="O262" s="1">
        <v>28</v>
      </c>
      <c r="P262" s="1" t="s">
        <v>498</v>
      </c>
      <c r="Q262" s="1" t="s">
        <v>113</v>
      </c>
      <c r="R262" s="1" t="s">
        <v>375</v>
      </c>
      <c r="S262" s="1"/>
      <c r="T262" s="1" t="s">
        <v>33</v>
      </c>
      <c r="U262" s="1"/>
      <c r="V262" s="1" t="s">
        <v>1647</v>
      </c>
      <c r="W262" s="1" t="s">
        <v>1534</v>
      </c>
      <c r="X262" s="1" t="s">
        <v>1648</v>
      </c>
      <c r="Y262" s="1"/>
    </row>
    <row r="263" spans="1:25" ht="28.5" hidden="1">
      <c r="A263" s="1" t="s">
        <v>1649</v>
      </c>
      <c r="B263" s="1"/>
      <c r="C263" s="1" t="s">
        <v>487</v>
      </c>
      <c r="D263" s="1" t="s">
        <v>27</v>
      </c>
      <c r="E263" s="1" t="s">
        <v>449</v>
      </c>
      <c r="F263" s="1" t="s">
        <v>488</v>
      </c>
      <c r="G263" s="1"/>
      <c r="H263" s="1" t="s">
        <v>1650</v>
      </c>
      <c r="I263" s="1" t="s">
        <v>1651</v>
      </c>
      <c r="J263" s="1" t="s">
        <v>1144</v>
      </c>
      <c r="K263" s="1"/>
      <c r="L263" s="1"/>
      <c r="M263" s="1"/>
      <c r="N263" s="1" t="s">
        <v>379</v>
      </c>
      <c r="O263" s="1">
        <v>29</v>
      </c>
      <c r="P263" s="1" t="s">
        <v>498</v>
      </c>
      <c r="Q263" s="1" t="s">
        <v>113</v>
      </c>
      <c r="R263" s="1" t="s">
        <v>375</v>
      </c>
      <c r="S263" s="1"/>
      <c r="T263" s="1" t="s">
        <v>33</v>
      </c>
      <c r="U263" s="1"/>
      <c r="V263" s="1" t="s">
        <v>1651</v>
      </c>
      <c r="W263" s="1" t="s">
        <v>1144</v>
      </c>
      <c r="X263" s="1"/>
      <c r="Y263" s="1"/>
    </row>
    <row r="264" spans="1:25" ht="42.75" hidden="1">
      <c r="A264" s="1" t="s">
        <v>1652</v>
      </c>
      <c r="B264" s="1"/>
      <c r="C264" s="1" t="s">
        <v>487</v>
      </c>
      <c r="D264" s="1" t="s">
        <v>27</v>
      </c>
      <c r="E264" s="1" t="s">
        <v>449</v>
      </c>
      <c r="F264" s="1" t="s">
        <v>488</v>
      </c>
      <c r="G264" s="1"/>
      <c r="H264" s="1"/>
      <c r="I264" s="1" t="s">
        <v>1653</v>
      </c>
      <c r="J264" s="1" t="s">
        <v>1654</v>
      </c>
      <c r="K264" s="1" t="s">
        <v>1655</v>
      </c>
      <c r="L264" s="1"/>
      <c r="M264" s="1"/>
      <c r="N264" s="1" t="s">
        <v>379</v>
      </c>
      <c r="O264" s="1">
        <v>30</v>
      </c>
      <c r="P264" s="1" t="s">
        <v>498</v>
      </c>
      <c r="Q264" s="1" t="s">
        <v>113</v>
      </c>
      <c r="R264" s="1" t="s">
        <v>375</v>
      </c>
      <c r="S264" s="1"/>
      <c r="T264" s="1" t="s">
        <v>33</v>
      </c>
      <c r="U264" s="1"/>
      <c r="V264" s="1" t="s">
        <v>1653</v>
      </c>
      <c r="W264" s="1" t="s">
        <v>1654</v>
      </c>
      <c r="X264" s="1" t="s">
        <v>1655</v>
      </c>
      <c r="Y264" s="1"/>
    </row>
    <row r="265" spans="1:25" ht="28.5" hidden="1">
      <c r="A265" s="1" t="s">
        <v>1656</v>
      </c>
      <c r="B265" s="1"/>
      <c r="C265" s="1" t="s">
        <v>487</v>
      </c>
      <c r="D265" s="1" t="s">
        <v>27</v>
      </c>
      <c r="E265" s="1" t="s">
        <v>449</v>
      </c>
      <c r="F265" s="1" t="s">
        <v>488</v>
      </c>
      <c r="G265" s="1"/>
      <c r="H265" s="1"/>
      <c r="I265" s="1" t="s">
        <v>1657</v>
      </c>
      <c r="J265" s="1" t="s">
        <v>1571</v>
      </c>
      <c r="K265" s="1"/>
      <c r="L265" s="1"/>
      <c r="M265" s="1"/>
      <c r="N265" s="1" t="s">
        <v>379</v>
      </c>
      <c r="O265" s="1">
        <v>31</v>
      </c>
      <c r="P265" s="1" t="s">
        <v>498</v>
      </c>
      <c r="Q265" s="1" t="s">
        <v>113</v>
      </c>
      <c r="R265" s="1" t="s">
        <v>375</v>
      </c>
      <c r="S265" s="1"/>
      <c r="T265" s="1" t="s">
        <v>33</v>
      </c>
      <c r="U265" s="1"/>
      <c r="V265" s="1" t="s">
        <v>1657</v>
      </c>
      <c r="W265" s="1" t="s">
        <v>1571</v>
      </c>
      <c r="X265" s="1"/>
      <c r="Y265" s="1"/>
    </row>
    <row r="266" spans="1:25" ht="42.75" hidden="1">
      <c r="A266" s="1" t="s">
        <v>1658</v>
      </c>
      <c r="B266" s="1"/>
      <c r="C266" s="1" t="s">
        <v>487</v>
      </c>
      <c r="D266" s="1" t="s">
        <v>27</v>
      </c>
      <c r="E266" s="1" t="s">
        <v>449</v>
      </c>
      <c r="F266" s="1" t="s">
        <v>488</v>
      </c>
      <c r="G266" s="1"/>
      <c r="H266" s="1"/>
      <c r="I266" s="1" t="s">
        <v>1659</v>
      </c>
      <c r="J266" s="1" t="s">
        <v>1660</v>
      </c>
      <c r="K266" s="1" t="s">
        <v>1661</v>
      </c>
      <c r="L266" s="1"/>
      <c r="M266" s="1"/>
      <c r="N266" s="1" t="s">
        <v>379</v>
      </c>
      <c r="O266" s="1">
        <v>32</v>
      </c>
      <c r="P266" s="1" t="s">
        <v>498</v>
      </c>
      <c r="Q266" s="1" t="s">
        <v>113</v>
      </c>
      <c r="R266" s="1" t="s">
        <v>375</v>
      </c>
      <c r="S266" s="1"/>
      <c r="T266" s="1" t="s">
        <v>33</v>
      </c>
      <c r="U266" s="1"/>
      <c r="V266" s="1" t="s">
        <v>1659</v>
      </c>
      <c r="W266" s="1" t="s">
        <v>1660</v>
      </c>
      <c r="X266" s="1" t="s">
        <v>1661</v>
      </c>
      <c r="Y266" s="1"/>
    </row>
    <row r="267" spans="1:25" ht="28.5" hidden="1">
      <c r="A267" s="1" t="s">
        <v>1662</v>
      </c>
      <c r="B267" s="1" t="s">
        <v>109</v>
      </c>
      <c r="C267" s="1" t="s">
        <v>448</v>
      </c>
      <c r="D267" s="1" t="s">
        <v>27</v>
      </c>
      <c r="E267" s="1" t="s">
        <v>449</v>
      </c>
      <c r="F267" s="1" t="s">
        <v>498</v>
      </c>
      <c r="G267" s="1" t="s">
        <v>529</v>
      </c>
      <c r="H267" s="1" t="s">
        <v>1663</v>
      </c>
      <c r="I267" s="1" t="s">
        <v>1664</v>
      </c>
      <c r="J267" s="1" t="s">
        <v>1665</v>
      </c>
      <c r="K267" s="1" t="s">
        <v>1666</v>
      </c>
      <c r="L267" s="1"/>
      <c r="M267" s="1"/>
      <c r="N267" s="1" t="s">
        <v>374</v>
      </c>
      <c r="O267" s="1">
        <v>8</v>
      </c>
      <c r="P267" s="1" t="s">
        <v>498</v>
      </c>
      <c r="Q267" s="1" t="s">
        <v>110</v>
      </c>
      <c r="R267" s="1" t="s">
        <v>375</v>
      </c>
      <c r="S267" s="1"/>
      <c r="T267" s="1" t="s">
        <v>23</v>
      </c>
      <c r="U267" s="1" t="s">
        <v>529</v>
      </c>
      <c r="V267" s="1" t="s">
        <v>1664</v>
      </c>
      <c r="W267" s="1" t="s">
        <v>1665</v>
      </c>
      <c r="X267" s="1" t="s">
        <v>1666</v>
      </c>
      <c r="Y267" s="1"/>
    </row>
    <row r="268" spans="1:25" ht="28.5" hidden="1">
      <c r="A268" s="1" t="s">
        <v>1667</v>
      </c>
      <c r="B268" s="1" t="s">
        <v>109</v>
      </c>
      <c r="C268" s="1" t="s">
        <v>448</v>
      </c>
      <c r="D268" s="1" t="s">
        <v>27</v>
      </c>
      <c r="E268" s="1" t="s">
        <v>449</v>
      </c>
      <c r="F268" s="1" t="s">
        <v>498</v>
      </c>
      <c r="G268" s="1" t="s">
        <v>535</v>
      </c>
      <c r="H268" s="1" t="s">
        <v>1668</v>
      </c>
      <c r="I268" s="1" t="s">
        <v>1669</v>
      </c>
      <c r="J268" s="1" t="s">
        <v>1670</v>
      </c>
      <c r="K268" s="1" t="s">
        <v>1671</v>
      </c>
      <c r="L268" s="1"/>
      <c r="M268" s="1"/>
      <c r="N268" s="1" t="s">
        <v>374</v>
      </c>
      <c r="O268" s="1">
        <v>9</v>
      </c>
      <c r="P268" s="1" t="s">
        <v>498</v>
      </c>
      <c r="Q268" s="1" t="s">
        <v>110</v>
      </c>
      <c r="R268" s="1" t="s">
        <v>375</v>
      </c>
      <c r="S268" s="1"/>
      <c r="T268" s="1" t="s">
        <v>23</v>
      </c>
      <c r="U268" s="1" t="s">
        <v>535</v>
      </c>
      <c r="V268" s="1" t="s">
        <v>1669</v>
      </c>
      <c r="W268" s="1" t="s">
        <v>1670</v>
      </c>
      <c r="X268" s="1" t="s">
        <v>1671</v>
      </c>
      <c r="Y268" s="1"/>
    </row>
    <row r="269" spans="1:25" ht="28.5" hidden="1">
      <c r="A269" s="1" t="s">
        <v>1672</v>
      </c>
      <c r="B269" s="1" t="s">
        <v>109</v>
      </c>
      <c r="C269" s="1" t="s">
        <v>448</v>
      </c>
      <c r="D269" s="1" t="s">
        <v>27</v>
      </c>
      <c r="E269" s="1" t="s">
        <v>449</v>
      </c>
      <c r="F269" s="1" t="s">
        <v>498</v>
      </c>
      <c r="G269" s="1" t="s">
        <v>541</v>
      </c>
      <c r="H269" s="1" t="s">
        <v>1673</v>
      </c>
      <c r="I269" s="1" t="s">
        <v>1674</v>
      </c>
      <c r="J269" s="1" t="s">
        <v>1675</v>
      </c>
      <c r="K269" s="1" t="s">
        <v>1676</v>
      </c>
      <c r="L269" s="1"/>
      <c r="M269" s="1"/>
      <c r="N269" s="1" t="s">
        <v>374</v>
      </c>
      <c r="O269" s="1">
        <v>10</v>
      </c>
      <c r="P269" s="1" t="s">
        <v>498</v>
      </c>
      <c r="Q269" s="1" t="s">
        <v>110</v>
      </c>
      <c r="R269" s="1" t="s">
        <v>375</v>
      </c>
      <c r="S269" s="1"/>
      <c r="T269" s="1" t="s">
        <v>23</v>
      </c>
      <c r="U269" s="1" t="s">
        <v>541</v>
      </c>
      <c r="V269" s="1" t="s">
        <v>1674</v>
      </c>
      <c r="W269" s="1" t="s">
        <v>1675</v>
      </c>
      <c r="X269" s="1" t="s">
        <v>1676</v>
      </c>
      <c r="Y269" s="1"/>
    </row>
    <row r="270" spans="1:25" ht="28.5" hidden="1">
      <c r="A270" s="1" t="s">
        <v>1677</v>
      </c>
      <c r="B270" s="1"/>
      <c r="C270" s="1" t="s">
        <v>487</v>
      </c>
      <c r="D270" s="1" t="s">
        <v>27</v>
      </c>
      <c r="E270" s="1" t="s">
        <v>449</v>
      </c>
      <c r="F270" s="1" t="s">
        <v>488</v>
      </c>
      <c r="G270" s="1"/>
      <c r="H270" s="1" t="s">
        <v>1678</v>
      </c>
      <c r="I270" s="1" t="s">
        <v>1679</v>
      </c>
      <c r="J270" s="1" t="s">
        <v>1680</v>
      </c>
      <c r="K270" s="1" t="s">
        <v>1681</v>
      </c>
      <c r="L270" s="1"/>
      <c r="M270" s="1"/>
      <c r="N270" s="1" t="s">
        <v>374</v>
      </c>
      <c r="O270" s="1">
        <v>15</v>
      </c>
      <c r="P270" s="1" t="s">
        <v>498</v>
      </c>
      <c r="Q270" s="1" t="s">
        <v>110</v>
      </c>
      <c r="R270" s="1" t="s">
        <v>375</v>
      </c>
      <c r="S270" s="1"/>
      <c r="T270" s="1" t="s">
        <v>23</v>
      </c>
      <c r="U270" s="1"/>
      <c r="V270" s="1" t="s">
        <v>1679</v>
      </c>
      <c r="W270" s="1" t="s">
        <v>1680</v>
      </c>
      <c r="X270" s="1" t="s">
        <v>1681</v>
      </c>
      <c r="Y270" s="1"/>
    </row>
    <row r="271" spans="1:25" ht="28.5" hidden="1">
      <c r="A271" s="1" t="s">
        <v>1682</v>
      </c>
      <c r="B271" s="1"/>
      <c r="C271" s="1" t="s">
        <v>487</v>
      </c>
      <c r="D271" s="1" t="s">
        <v>27</v>
      </c>
      <c r="E271" s="1" t="s">
        <v>449</v>
      </c>
      <c r="F271" s="1" t="s">
        <v>488</v>
      </c>
      <c r="G271" s="1"/>
      <c r="H271" s="1" t="s">
        <v>1683</v>
      </c>
      <c r="I271" s="1" t="s">
        <v>1684</v>
      </c>
      <c r="J271" s="1" t="s">
        <v>1680</v>
      </c>
      <c r="K271" s="1" t="s">
        <v>1685</v>
      </c>
      <c r="L271" s="1"/>
      <c r="M271" s="1"/>
      <c r="N271" s="1" t="s">
        <v>374</v>
      </c>
      <c r="O271" s="1">
        <v>16</v>
      </c>
      <c r="P271" s="1" t="s">
        <v>498</v>
      </c>
      <c r="Q271" s="1" t="s">
        <v>110</v>
      </c>
      <c r="R271" s="1" t="s">
        <v>375</v>
      </c>
      <c r="S271" s="1"/>
      <c r="T271" s="1" t="s">
        <v>23</v>
      </c>
      <c r="U271" s="1"/>
      <c r="V271" s="1" t="s">
        <v>1684</v>
      </c>
      <c r="W271" s="1" t="s">
        <v>1680</v>
      </c>
      <c r="X271" s="1" t="s">
        <v>1685</v>
      </c>
      <c r="Y271" s="1"/>
    </row>
    <row r="272" spans="1:25" ht="28.5" hidden="1">
      <c r="A272" s="1" t="s">
        <v>1686</v>
      </c>
      <c r="B272" s="1"/>
      <c r="C272" s="1" t="s">
        <v>487</v>
      </c>
      <c r="D272" s="1" t="s">
        <v>27</v>
      </c>
      <c r="E272" s="1" t="s">
        <v>449</v>
      </c>
      <c r="F272" s="1" t="s">
        <v>488</v>
      </c>
      <c r="G272" s="1"/>
      <c r="H272" s="1" t="s">
        <v>1687</v>
      </c>
      <c r="I272" s="1" t="s">
        <v>1688</v>
      </c>
      <c r="J272" s="1" t="s">
        <v>733</v>
      </c>
      <c r="K272" s="1" t="s">
        <v>1689</v>
      </c>
      <c r="L272" s="1"/>
      <c r="M272" s="1"/>
      <c r="N272" s="1" t="s">
        <v>374</v>
      </c>
      <c r="O272" s="1">
        <v>17</v>
      </c>
      <c r="P272" s="1" t="s">
        <v>498</v>
      </c>
      <c r="Q272" s="1" t="s">
        <v>110</v>
      </c>
      <c r="R272" s="1" t="s">
        <v>375</v>
      </c>
      <c r="S272" s="1"/>
      <c r="T272" s="1" t="s">
        <v>23</v>
      </c>
      <c r="U272" s="1"/>
      <c r="V272" s="1" t="s">
        <v>1688</v>
      </c>
      <c r="W272" s="1" t="s">
        <v>733</v>
      </c>
      <c r="X272" s="1" t="s">
        <v>1689</v>
      </c>
      <c r="Y272" s="1"/>
    </row>
    <row r="273" spans="1:25" ht="28.5" hidden="1">
      <c r="A273" s="1" t="s">
        <v>1690</v>
      </c>
      <c r="B273" s="1"/>
      <c r="C273" s="1" t="s">
        <v>487</v>
      </c>
      <c r="D273" s="1" t="s">
        <v>27</v>
      </c>
      <c r="E273" s="1" t="s">
        <v>449</v>
      </c>
      <c r="F273" s="1" t="s">
        <v>488</v>
      </c>
      <c r="G273" s="1"/>
      <c r="H273" s="1" t="s">
        <v>1691</v>
      </c>
      <c r="I273" s="1" t="s">
        <v>1692</v>
      </c>
      <c r="J273" s="1" t="s">
        <v>1693</v>
      </c>
      <c r="K273" s="1" t="s">
        <v>1694</v>
      </c>
      <c r="L273" s="1"/>
      <c r="M273" s="1"/>
      <c r="N273" s="1" t="s">
        <v>374</v>
      </c>
      <c r="O273" s="1">
        <v>18</v>
      </c>
      <c r="P273" s="1" t="s">
        <v>498</v>
      </c>
      <c r="Q273" s="1" t="s">
        <v>110</v>
      </c>
      <c r="R273" s="1" t="s">
        <v>375</v>
      </c>
      <c r="S273" s="1"/>
      <c r="T273" s="1" t="s">
        <v>23</v>
      </c>
      <c r="U273" s="1"/>
      <c r="V273" s="1" t="s">
        <v>1692</v>
      </c>
      <c r="W273" s="1" t="s">
        <v>1693</v>
      </c>
      <c r="X273" s="1" t="s">
        <v>1694</v>
      </c>
      <c r="Y273" s="1"/>
    </row>
    <row r="274" spans="1:25" ht="28.5" hidden="1">
      <c r="A274" s="1" t="s">
        <v>1695</v>
      </c>
      <c r="B274" s="1"/>
      <c r="C274" s="1" t="s">
        <v>487</v>
      </c>
      <c r="D274" s="1" t="s">
        <v>27</v>
      </c>
      <c r="E274" s="1" t="s">
        <v>449</v>
      </c>
      <c r="F274" s="1" t="s">
        <v>488</v>
      </c>
      <c r="G274" s="1"/>
      <c r="H274" s="1"/>
      <c r="I274" s="1" t="s">
        <v>1696</v>
      </c>
      <c r="J274" s="1" t="s">
        <v>1697</v>
      </c>
      <c r="K274" s="1" t="s">
        <v>1698</v>
      </c>
      <c r="L274" s="1"/>
      <c r="M274" s="1"/>
      <c r="N274" s="1" t="s">
        <v>374</v>
      </c>
      <c r="O274" s="1">
        <v>19</v>
      </c>
      <c r="P274" s="1" t="s">
        <v>498</v>
      </c>
      <c r="Q274" s="1" t="s">
        <v>110</v>
      </c>
      <c r="R274" s="1" t="s">
        <v>375</v>
      </c>
      <c r="S274" s="1"/>
      <c r="T274" s="1" t="s">
        <v>23</v>
      </c>
      <c r="U274" s="1"/>
      <c r="V274" s="1" t="s">
        <v>1696</v>
      </c>
      <c r="W274" s="1" t="s">
        <v>1697</v>
      </c>
      <c r="X274" s="1" t="s">
        <v>1698</v>
      </c>
      <c r="Y274" s="1"/>
    </row>
    <row r="275" spans="1:25" ht="28.5" hidden="1">
      <c r="A275" s="1" t="s">
        <v>1699</v>
      </c>
      <c r="B275" s="1"/>
      <c r="C275" s="1" t="s">
        <v>487</v>
      </c>
      <c r="D275" s="1" t="s">
        <v>27</v>
      </c>
      <c r="E275" s="1" t="s">
        <v>449</v>
      </c>
      <c r="F275" s="1" t="s">
        <v>488</v>
      </c>
      <c r="G275" s="1"/>
      <c r="H275" s="1"/>
      <c r="I275" s="1" t="s">
        <v>1700</v>
      </c>
      <c r="J275" s="1" t="s">
        <v>1701</v>
      </c>
      <c r="K275" s="1" t="s">
        <v>1522</v>
      </c>
      <c r="L275" s="1"/>
      <c r="M275" s="1"/>
      <c r="N275" s="1" t="s">
        <v>374</v>
      </c>
      <c r="O275" s="1">
        <v>20</v>
      </c>
      <c r="P275" s="1" t="s">
        <v>498</v>
      </c>
      <c r="Q275" s="1" t="s">
        <v>110</v>
      </c>
      <c r="R275" s="1" t="s">
        <v>375</v>
      </c>
      <c r="S275" s="1"/>
      <c r="T275" s="1" t="s">
        <v>23</v>
      </c>
      <c r="U275" s="1"/>
      <c r="V275" s="1" t="s">
        <v>1700</v>
      </c>
      <c r="W275" s="1" t="s">
        <v>1701</v>
      </c>
      <c r="X275" s="1" t="s">
        <v>1522</v>
      </c>
      <c r="Y275" s="1"/>
    </row>
    <row r="276" spans="1:25" ht="28.5" hidden="1">
      <c r="A276" s="1" t="s">
        <v>1702</v>
      </c>
      <c r="B276" s="1"/>
      <c r="C276" s="1" t="s">
        <v>487</v>
      </c>
      <c r="D276" s="1" t="s">
        <v>27</v>
      </c>
      <c r="E276" s="1" t="s">
        <v>449</v>
      </c>
      <c r="F276" s="1" t="s">
        <v>488</v>
      </c>
      <c r="G276" s="1"/>
      <c r="H276" s="1"/>
      <c r="I276" s="1" t="s">
        <v>1703</v>
      </c>
      <c r="J276" s="1" t="s">
        <v>1704</v>
      </c>
      <c r="K276" s="1" t="s">
        <v>1705</v>
      </c>
      <c r="L276" s="1"/>
      <c r="M276" s="1"/>
      <c r="N276" s="1" t="s">
        <v>374</v>
      </c>
      <c r="O276" s="1">
        <v>21</v>
      </c>
      <c r="P276" s="1" t="s">
        <v>498</v>
      </c>
      <c r="Q276" s="1" t="s">
        <v>110</v>
      </c>
      <c r="R276" s="1" t="s">
        <v>375</v>
      </c>
      <c r="S276" s="1"/>
      <c r="T276" s="1" t="s">
        <v>23</v>
      </c>
      <c r="U276" s="1"/>
      <c r="V276" s="1" t="s">
        <v>1703</v>
      </c>
      <c r="W276" s="1" t="s">
        <v>1704</v>
      </c>
      <c r="X276" s="1" t="s">
        <v>1705</v>
      </c>
      <c r="Y276" s="1"/>
    </row>
    <row r="277" spans="1:25" ht="42.75" hidden="1">
      <c r="A277" s="1" t="s">
        <v>1706</v>
      </c>
      <c r="B277" s="1"/>
      <c r="C277" s="1" t="s">
        <v>487</v>
      </c>
      <c r="D277" s="1" t="s">
        <v>27</v>
      </c>
      <c r="E277" s="1" t="s">
        <v>1707</v>
      </c>
      <c r="F277" s="1" t="s">
        <v>488</v>
      </c>
      <c r="G277" s="1"/>
      <c r="H277" s="1" t="s">
        <v>1540</v>
      </c>
      <c r="I277" s="1" t="s">
        <v>1541</v>
      </c>
      <c r="J277" s="1" t="s">
        <v>1542</v>
      </c>
      <c r="K277" s="1" t="s">
        <v>1543</v>
      </c>
      <c r="L277" s="1" t="s">
        <v>487</v>
      </c>
      <c r="M277" s="1"/>
      <c r="N277" s="1" t="s">
        <v>419</v>
      </c>
      <c r="O277" s="1">
        <v>13</v>
      </c>
      <c r="P277" s="1" t="s">
        <v>528</v>
      </c>
      <c r="Q277" s="1" t="s">
        <v>316</v>
      </c>
      <c r="R277" s="1" t="s">
        <v>375</v>
      </c>
      <c r="S277" s="1"/>
      <c r="T277" s="1" t="s">
        <v>49</v>
      </c>
      <c r="U277" s="1"/>
      <c r="V277" s="1" t="s">
        <v>1541</v>
      </c>
      <c r="W277" s="1" t="s">
        <v>1542</v>
      </c>
      <c r="X277" s="1" t="s">
        <v>1543</v>
      </c>
      <c r="Y277" s="1" t="s">
        <v>1708</v>
      </c>
    </row>
    <row r="278" spans="1:25" ht="42.75" hidden="1">
      <c r="A278" s="1" t="s">
        <v>1709</v>
      </c>
      <c r="B278" s="1"/>
      <c r="C278" s="1" t="s">
        <v>487</v>
      </c>
      <c r="D278" s="1" t="s">
        <v>27</v>
      </c>
      <c r="E278" s="1" t="s">
        <v>1707</v>
      </c>
      <c r="F278" s="1" t="s">
        <v>488</v>
      </c>
      <c r="G278" s="1"/>
      <c r="H278" s="1"/>
      <c r="I278" s="1" t="s">
        <v>1710</v>
      </c>
      <c r="J278" s="1" t="s">
        <v>1534</v>
      </c>
      <c r="K278" s="1" t="s">
        <v>1711</v>
      </c>
      <c r="L278" s="1" t="s">
        <v>487</v>
      </c>
      <c r="M278" s="1"/>
      <c r="N278" s="1" t="s">
        <v>419</v>
      </c>
      <c r="O278" s="1">
        <v>14</v>
      </c>
      <c r="P278" s="1" t="s">
        <v>528</v>
      </c>
      <c r="Q278" s="1" t="s">
        <v>316</v>
      </c>
      <c r="R278" s="1" t="s">
        <v>375</v>
      </c>
      <c r="S278" s="1"/>
      <c r="T278" s="1" t="s">
        <v>49</v>
      </c>
      <c r="U278" s="1"/>
      <c r="V278" s="1" t="s">
        <v>1545</v>
      </c>
      <c r="W278" s="1" t="s">
        <v>1534</v>
      </c>
      <c r="X278" s="1" t="s">
        <v>1535</v>
      </c>
      <c r="Y278" s="1" t="s">
        <v>1712</v>
      </c>
    </row>
    <row r="279" spans="1:25" ht="42.75" hidden="1">
      <c r="A279" s="1" t="s">
        <v>1713</v>
      </c>
      <c r="B279" s="1"/>
      <c r="C279" s="1" t="s">
        <v>487</v>
      </c>
      <c r="D279" s="1" t="s">
        <v>27</v>
      </c>
      <c r="E279" s="1" t="s">
        <v>1707</v>
      </c>
      <c r="F279" s="1" t="s">
        <v>488</v>
      </c>
      <c r="G279" s="1"/>
      <c r="H279" s="1"/>
      <c r="I279" s="1" t="s">
        <v>1714</v>
      </c>
      <c r="J279" s="1" t="s">
        <v>1548</v>
      </c>
      <c r="K279" s="1" t="s">
        <v>1549</v>
      </c>
      <c r="L279" s="1" t="s">
        <v>487</v>
      </c>
      <c r="M279" s="1"/>
      <c r="N279" s="1" t="s">
        <v>419</v>
      </c>
      <c r="O279" s="1">
        <v>15</v>
      </c>
      <c r="P279" s="1" t="s">
        <v>528</v>
      </c>
      <c r="Q279" s="1" t="s">
        <v>316</v>
      </c>
      <c r="R279" s="1" t="s">
        <v>375</v>
      </c>
      <c r="S279" s="1"/>
      <c r="T279" s="1" t="s">
        <v>49</v>
      </c>
      <c r="U279" s="1"/>
      <c r="V279" s="1" t="s">
        <v>1547</v>
      </c>
      <c r="W279" s="1" t="s">
        <v>1548</v>
      </c>
      <c r="X279" s="1" t="s">
        <v>1549</v>
      </c>
      <c r="Y279" s="1" t="s">
        <v>1715</v>
      </c>
    </row>
    <row r="280" spans="1:25" ht="57" hidden="1">
      <c r="A280" s="1" t="s">
        <v>1716</v>
      </c>
      <c r="B280" s="1"/>
      <c r="C280" s="1" t="s">
        <v>487</v>
      </c>
      <c r="D280" s="1" t="s">
        <v>27</v>
      </c>
      <c r="E280" s="1" t="s">
        <v>1707</v>
      </c>
      <c r="F280" s="1" t="s">
        <v>488</v>
      </c>
      <c r="G280" s="1"/>
      <c r="H280" s="1" t="s">
        <v>1210</v>
      </c>
      <c r="I280" s="1" t="s">
        <v>1717</v>
      </c>
      <c r="J280" s="1" t="s">
        <v>1212</v>
      </c>
      <c r="K280" s="1" t="s">
        <v>1213</v>
      </c>
      <c r="L280" s="1" t="s">
        <v>487</v>
      </c>
      <c r="M280" s="1"/>
      <c r="N280" s="1" t="s">
        <v>372</v>
      </c>
      <c r="O280" s="1">
        <v>28</v>
      </c>
      <c r="P280" s="1" t="s">
        <v>498</v>
      </c>
      <c r="Q280" s="1" t="s">
        <v>97</v>
      </c>
      <c r="R280" s="1" t="s">
        <v>370</v>
      </c>
      <c r="S280" s="1" t="s">
        <v>371</v>
      </c>
      <c r="T280" s="1" t="s">
        <v>49</v>
      </c>
      <c r="U280" s="1"/>
      <c r="V280" s="1" t="s">
        <v>1211</v>
      </c>
      <c r="W280" s="1" t="s">
        <v>1212</v>
      </c>
      <c r="X280" s="1" t="s">
        <v>1213</v>
      </c>
      <c r="Y280" s="1" t="s">
        <v>1718</v>
      </c>
    </row>
    <row r="281" spans="1:25" ht="42.75" hidden="1">
      <c r="A281" s="1" t="s">
        <v>1719</v>
      </c>
      <c r="B281" s="1"/>
      <c r="C281" s="1" t="s">
        <v>487</v>
      </c>
      <c r="D281" s="1" t="s">
        <v>27</v>
      </c>
      <c r="E281" s="1" t="s">
        <v>1707</v>
      </c>
      <c r="F281" s="1" t="s">
        <v>488</v>
      </c>
      <c r="G281" s="1"/>
      <c r="H281" s="1" t="s">
        <v>1216</v>
      </c>
      <c r="I281" s="1" t="s">
        <v>1720</v>
      </c>
      <c r="J281" s="1" t="s">
        <v>1218</v>
      </c>
      <c r="K281" s="1" t="s">
        <v>1219</v>
      </c>
      <c r="L281" s="1" t="s">
        <v>487</v>
      </c>
      <c r="M281" s="1"/>
      <c r="N281" s="1" t="s">
        <v>372</v>
      </c>
      <c r="O281" s="1">
        <v>29</v>
      </c>
      <c r="P281" s="1" t="s">
        <v>498</v>
      </c>
      <c r="Q281" s="1" t="s">
        <v>97</v>
      </c>
      <c r="R281" s="1" t="s">
        <v>370</v>
      </c>
      <c r="S281" s="1" t="s">
        <v>371</v>
      </c>
      <c r="T281" s="1" t="s">
        <v>49</v>
      </c>
      <c r="U281" s="1"/>
      <c r="V281" s="1" t="s">
        <v>1217</v>
      </c>
      <c r="W281" s="1" t="s">
        <v>1218</v>
      </c>
      <c r="X281" s="1" t="s">
        <v>1219</v>
      </c>
      <c r="Y281" s="1" t="s">
        <v>1721</v>
      </c>
    </row>
    <row r="282" spans="1:25" ht="42.75" hidden="1">
      <c r="A282" s="1" t="s">
        <v>1722</v>
      </c>
      <c r="B282" s="1"/>
      <c r="C282" s="1" t="s">
        <v>487</v>
      </c>
      <c r="D282" s="1" t="s">
        <v>27</v>
      </c>
      <c r="E282" s="1" t="s">
        <v>1707</v>
      </c>
      <c r="F282" s="1" t="s">
        <v>488</v>
      </c>
      <c r="G282" s="1"/>
      <c r="H282" s="1" t="s">
        <v>1180</v>
      </c>
      <c r="I282" s="1" t="s">
        <v>1723</v>
      </c>
      <c r="J282" s="1" t="s">
        <v>1182</v>
      </c>
      <c r="K282" s="1" t="s">
        <v>733</v>
      </c>
      <c r="L282" s="1" t="s">
        <v>487</v>
      </c>
      <c r="M282" s="1"/>
      <c r="N282" s="1" t="s">
        <v>372</v>
      </c>
      <c r="O282" s="1">
        <v>18</v>
      </c>
      <c r="P282" s="1" t="s">
        <v>498</v>
      </c>
      <c r="Q282" s="1" t="s">
        <v>97</v>
      </c>
      <c r="R282" s="1" t="s">
        <v>370</v>
      </c>
      <c r="S282" s="1" t="s">
        <v>371</v>
      </c>
      <c r="T282" s="1" t="s">
        <v>49</v>
      </c>
      <c r="U282" s="1" t="s">
        <v>719</v>
      </c>
      <c r="V282" s="1" t="s">
        <v>1181</v>
      </c>
      <c r="W282" s="1" t="s">
        <v>1182</v>
      </c>
      <c r="X282" s="1" t="s">
        <v>733</v>
      </c>
      <c r="Y282" s="1" t="s">
        <v>1724</v>
      </c>
    </row>
    <row r="283" spans="1:25" ht="42.75" hidden="1">
      <c r="A283" s="1" t="s">
        <v>1725</v>
      </c>
      <c r="B283" s="1"/>
      <c r="C283" s="1" t="s">
        <v>487</v>
      </c>
      <c r="D283" s="1" t="s">
        <v>27</v>
      </c>
      <c r="E283" s="1" t="s">
        <v>1707</v>
      </c>
      <c r="F283" s="1" t="s">
        <v>488</v>
      </c>
      <c r="G283" s="1"/>
      <c r="H283" s="1" t="s">
        <v>1726</v>
      </c>
      <c r="I283" s="1" t="s">
        <v>1727</v>
      </c>
      <c r="J283" s="1" t="s">
        <v>1728</v>
      </c>
      <c r="K283" s="1" t="s">
        <v>1729</v>
      </c>
      <c r="L283" s="1" t="s">
        <v>487</v>
      </c>
      <c r="M283" s="1"/>
      <c r="N283" s="1" t="s">
        <v>1730</v>
      </c>
      <c r="O283" s="1"/>
      <c r="P283" s="1"/>
      <c r="Q283" s="1"/>
      <c r="R283" s="1"/>
      <c r="S283" s="1"/>
      <c r="T283" s="1"/>
      <c r="U283" s="1"/>
      <c r="V283" s="1"/>
      <c r="W283" s="1"/>
      <c r="X283" s="1"/>
      <c r="Y283" s="1" t="s">
        <v>1731</v>
      </c>
    </row>
    <row r="284" spans="1:25" ht="42.75" hidden="1">
      <c r="A284" s="1" t="s">
        <v>1732</v>
      </c>
      <c r="B284" s="1"/>
      <c r="C284" s="1" t="s">
        <v>487</v>
      </c>
      <c r="D284" s="1" t="s">
        <v>27</v>
      </c>
      <c r="E284" s="1" t="s">
        <v>1707</v>
      </c>
      <c r="F284" s="1" t="s">
        <v>488</v>
      </c>
      <c r="G284" s="1"/>
      <c r="H284" s="1" t="s">
        <v>1733</v>
      </c>
      <c r="I284" s="1" t="s">
        <v>1734</v>
      </c>
      <c r="J284" s="1" t="s">
        <v>1735</v>
      </c>
      <c r="K284" s="1" t="s">
        <v>1736</v>
      </c>
      <c r="L284" s="1" t="s">
        <v>487</v>
      </c>
      <c r="M284" s="1"/>
      <c r="N284" s="1" t="s">
        <v>1730</v>
      </c>
      <c r="O284" s="1"/>
      <c r="P284" s="1"/>
      <c r="Q284" s="1"/>
      <c r="R284" s="1"/>
      <c r="S284" s="1"/>
      <c r="T284" s="1"/>
      <c r="U284" s="1"/>
      <c r="V284" s="1"/>
      <c r="W284" s="1"/>
      <c r="X284" s="1"/>
      <c r="Y284" s="1" t="s">
        <v>1731</v>
      </c>
    </row>
    <row r="285" spans="1:25" ht="42.75" hidden="1">
      <c r="A285" s="1" t="s">
        <v>1737</v>
      </c>
      <c r="B285" s="1"/>
      <c r="C285" s="1" t="s">
        <v>487</v>
      </c>
      <c r="D285" s="1" t="s">
        <v>27</v>
      </c>
      <c r="E285" s="1" t="s">
        <v>1707</v>
      </c>
      <c r="F285" s="1" t="s">
        <v>488</v>
      </c>
      <c r="G285" s="1"/>
      <c r="H285" s="1" t="s">
        <v>1738</v>
      </c>
      <c r="I285" s="1" t="s">
        <v>1739</v>
      </c>
      <c r="J285" s="1" t="s">
        <v>1740</v>
      </c>
      <c r="K285" s="1"/>
      <c r="L285" s="1" t="s">
        <v>487</v>
      </c>
      <c r="M285" s="1"/>
      <c r="N285" s="1" t="s">
        <v>1730</v>
      </c>
      <c r="O285" s="1"/>
      <c r="P285" s="1"/>
      <c r="Q285" s="1"/>
      <c r="R285" s="1"/>
      <c r="S285" s="1"/>
      <c r="T285" s="1"/>
      <c r="U285" s="1"/>
      <c r="V285" s="1"/>
      <c r="W285" s="1"/>
      <c r="X285" s="1"/>
      <c r="Y285" s="1" t="s">
        <v>1731</v>
      </c>
    </row>
    <row r="286" spans="1:25" ht="42.75" hidden="1">
      <c r="A286" s="1" t="s">
        <v>1741</v>
      </c>
      <c r="B286" s="1"/>
      <c r="C286" s="1" t="s">
        <v>487</v>
      </c>
      <c r="D286" s="1" t="s">
        <v>27</v>
      </c>
      <c r="E286" s="1" t="s">
        <v>1707</v>
      </c>
      <c r="F286" s="1" t="s">
        <v>488</v>
      </c>
      <c r="G286" s="1"/>
      <c r="H286" s="1" t="s">
        <v>1742</v>
      </c>
      <c r="I286" s="1" t="s">
        <v>1743</v>
      </c>
      <c r="J286" s="1" t="s">
        <v>1744</v>
      </c>
      <c r="K286" s="1" t="s">
        <v>1745</v>
      </c>
      <c r="L286" s="1" t="s">
        <v>487</v>
      </c>
      <c r="M286" s="1"/>
      <c r="N286" s="1" t="s">
        <v>1730</v>
      </c>
      <c r="O286" s="1"/>
      <c r="P286" s="1"/>
      <c r="Q286" s="1"/>
      <c r="R286" s="1"/>
      <c r="S286" s="1"/>
      <c r="T286" s="1"/>
      <c r="U286" s="1"/>
      <c r="V286" s="1"/>
      <c r="W286" s="1"/>
      <c r="X286" s="1"/>
      <c r="Y286" s="1" t="s">
        <v>1731</v>
      </c>
    </row>
    <row r="287" spans="1:25" ht="42.75" hidden="1">
      <c r="A287" s="1" t="s">
        <v>1746</v>
      </c>
      <c r="B287" s="1"/>
      <c r="C287" s="1" t="s">
        <v>487</v>
      </c>
      <c r="D287" s="1" t="s">
        <v>27</v>
      </c>
      <c r="E287" s="1" t="s">
        <v>1707</v>
      </c>
      <c r="F287" s="1" t="s">
        <v>488</v>
      </c>
      <c r="G287" s="1"/>
      <c r="H287" s="1" t="s">
        <v>1747</v>
      </c>
      <c r="I287" s="1" t="s">
        <v>1748</v>
      </c>
      <c r="J287" s="1" t="s">
        <v>1749</v>
      </c>
      <c r="K287" s="1" t="s">
        <v>1750</v>
      </c>
      <c r="L287" s="1" t="s">
        <v>487</v>
      </c>
      <c r="M287" s="1"/>
      <c r="N287" s="1" t="s">
        <v>1730</v>
      </c>
      <c r="O287" s="1"/>
      <c r="P287" s="1"/>
      <c r="Q287" s="1"/>
      <c r="R287" s="1"/>
      <c r="S287" s="1"/>
      <c r="T287" s="1"/>
      <c r="U287" s="1"/>
      <c r="V287" s="1"/>
      <c r="W287" s="1"/>
      <c r="X287" s="1"/>
      <c r="Y287" s="1" t="s">
        <v>1731</v>
      </c>
    </row>
    <row r="288" spans="1:25" ht="42.75" hidden="1">
      <c r="A288" s="1" t="s">
        <v>1751</v>
      </c>
      <c r="B288" s="1"/>
      <c r="C288" s="1" t="s">
        <v>487</v>
      </c>
      <c r="D288" s="1" t="s">
        <v>27</v>
      </c>
      <c r="E288" s="1" t="s">
        <v>1707</v>
      </c>
      <c r="F288" s="1" t="s">
        <v>488</v>
      </c>
      <c r="G288" s="1"/>
      <c r="H288" s="1"/>
      <c r="I288" s="1" t="s">
        <v>1752</v>
      </c>
      <c r="J288" s="1" t="s">
        <v>1753</v>
      </c>
      <c r="K288" s="1" t="s">
        <v>1754</v>
      </c>
      <c r="L288" s="1" t="s">
        <v>487</v>
      </c>
      <c r="M288" s="1"/>
      <c r="N288" s="1" t="s">
        <v>1730</v>
      </c>
      <c r="O288" s="1"/>
      <c r="P288" s="1"/>
      <c r="Q288" s="1"/>
      <c r="R288" s="1"/>
      <c r="S288" s="1"/>
      <c r="T288" s="1"/>
      <c r="U288" s="1"/>
      <c r="V288" s="1"/>
      <c r="W288" s="1"/>
      <c r="X288" s="1"/>
      <c r="Y288" s="1" t="s">
        <v>1731</v>
      </c>
    </row>
    <row r="289" spans="1:25" ht="57" hidden="1">
      <c r="A289" s="1" t="s">
        <v>1755</v>
      </c>
      <c r="B289" s="1" t="s">
        <v>145</v>
      </c>
      <c r="C289" s="1" t="s">
        <v>448</v>
      </c>
      <c r="D289" s="1" t="s">
        <v>27</v>
      </c>
      <c r="E289" s="1" t="s">
        <v>1756</v>
      </c>
      <c r="F289" s="1" t="s">
        <v>498</v>
      </c>
      <c r="G289" s="1" t="s">
        <v>1757</v>
      </c>
      <c r="H289" s="1" t="s">
        <v>1203</v>
      </c>
      <c r="I289" s="1" t="s">
        <v>1758</v>
      </c>
      <c r="J289" s="1" t="s">
        <v>1205</v>
      </c>
      <c r="K289" s="1" t="s">
        <v>1206</v>
      </c>
      <c r="L289" s="1" t="s">
        <v>1129</v>
      </c>
      <c r="M289" s="1" t="s">
        <v>375</v>
      </c>
      <c r="N289" s="1" t="s">
        <v>372</v>
      </c>
      <c r="O289" s="1">
        <v>23</v>
      </c>
      <c r="P289" s="1" t="s">
        <v>498</v>
      </c>
      <c r="Q289" s="1" t="s">
        <v>97</v>
      </c>
      <c r="R289" s="1" t="s">
        <v>370</v>
      </c>
      <c r="S289" s="1" t="s">
        <v>371</v>
      </c>
      <c r="T289" s="1" t="s">
        <v>49</v>
      </c>
      <c r="U289" s="1" t="s">
        <v>1207</v>
      </c>
      <c r="V289" s="1" t="s">
        <v>1204</v>
      </c>
      <c r="W289" s="1" t="s">
        <v>1205</v>
      </c>
      <c r="X289" s="1" t="s">
        <v>1206</v>
      </c>
      <c r="Y289" s="1" t="s">
        <v>1759</v>
      </c>
    </row>
    <row r="290" spans="1:25" ht="42.75" hidden="1">
      <c r="A290" s="1" t="s">
        <v>1760</v>
      </c>
      <c r="B290" s="1" t="s">
        <v>156</v>
      </c>
      <c r="C290" s="1" t="s">
        <v>1761</v>
      </c>
      <c r="D290" s="1" t="s">
        <v>27</v>
      </c>
      <c r="E290" s="1" t="s">
        <v>1756</v>
      </c>
      <c r="F290" s="1" t="s">
        <v>498</v>
      </c>
      <c r="G290" s="1" t="s">
        <v>1762</v>
      </c>
      <c r="H290" s="1"/>
      <c r="I290" s="1" t="s">
        <v>1763</v>
      </c>
      <c r="J290" s="1" t="s">
        <v>1379</v>
      </c>
      <c r="K290" s="1"/>
      <c r="L290" s="1" t="s">
        <v>1761</v>
      </c>
      <c r="M290" s="1"/>
      <c r="N290" s="1" t="s">
        <v>1764</v>
      </c>
      <c r="O290" s="1"/>
      <c r="P290" s="1"/>
      <c r="Q290" s="1"/>
      <c r="R290" s="1"/>
      <c r="S290" s="1"/>
      <c r="T290" s="1"/>
      <c r="U290" s="1"/>
      <c r="V290" s="1"/>
      <c r="W290" s="1"/>
      <c r="X290" s="1"/>
      <c r="Y290" s="1" t="s">
        <v>1765</v>
      </c>
    </row>
    <row r="291" spans="1:25" ht="42.75" hidden="1">
      <c r="A291" s="1" t="s">
        <v>1766</v>
      </c>
      <c r="B291" s="1" t="s">
        <v>156</v>
      </c>
      <c r="C291" s="1" t="s">
        <v>1761</v>
      </c>
      <c r="D291" s="1" t="s">
        <v>27</v>
      </c>
      <c r="E291" s="1" t="s">
        <v>1756</v>
      </c>
      <c r="F291" s="1" t="s">
        <v>498</v>
      </c>
      <c r="G291" s="1" t="s">
        <v>1767</v>
      </c>
      <c r="H291" s="1"/>
      <c r="I291" s="1" t="s">
        <v>1768</v>
      </c>
      <c r="J291" s="1" t="s">
        <v>1769</v>
      </c>
      <c r="K291" s="1"/>
      <c r="L291" s="1" t="s">
        <v>1761</v>
      </c>
      <c r="M291" s="1"/>
      <c r="N291" s="1" t="s">
        <v>1764</v>
      </c>
      <c r="O291" s="1"/>
      <c r="P291" s="1"/>
      <c r="Q291" s="1"/>
      <c r="R291" s="1"/>
      <c r="S291" s="1"/>
      <c r="T291" s="1"/>
      <c r="U291" s="1"/>
      <c r="V291" s="1"/>
      <c r="W291" s="1"/>
      <c r="X291" s="1"/>
      <c r="Y291" s="1" t="s">
        <v>1765</v>
      </c>
    </row>
    <row r="292" spans="1:25" ht="42.75" hidden="1">
      <c r="A292" s="1" t="s">
        <v>1770</v>
      </c>
      <c r="B292" s="1" t="s">
        <v>198</v>
      </c>
      <c r="C292" s="1" t="s">
        <v>448</v>
      </c>
      <c r="D292" s="1" t="s">
        <v>27</v>
      </c>
      <c r="E292" s="1" t="s">
        <v>1756</v>
      </c>
      <c r="F292" s="1" t="s">
        <v>450</v>
      </c>
      <c r="G292" s="1"/>
      <c r="H292" s="1" t="s">
        <v>578</v>
      </c>
      <c r="I292" s="1" t="s">
        <v>644</v>
      </c>
      <c r="J292" s="1" t="s">
        <v>580</v>
      </c>
      <c r="K292" s="1"/>
      <c r="L292" s="1"/>
      <c r="M292" s="1"/>
      <c r="N292" s="1" t="s">
        <v>581</v>
      </c>
      <c r="O292" s="1">
        <v>6</v>
      </c>
      <c r="P292" s="1" t="s">
        <v>582</v>
      </c>
      <c r="Q292" s="1" t="s">
        <v>150</v>
      </c>
      <c r="R292" s="1" t="s">
        <v>370</v>
      </c>
      <c r="S292" s="1" t="s">
        <v>388</v>
      </c>
      <c r="T292" s="1" t="s">
        <v>583</v>
      </c>
      <c r="U292" s="1"/>
      <c r="V292" s="1" t="s">
        <v>579</v>
      </c>
      <c r="W292" s="1" t="s">
        <v>580</v>
      </c>
      <c r="X292" s="1"/>
      <c r="Y292" s="1" t="s">
        <v>1771</v>
      </c>
    </row>
    <row r="293" spans="1:25" ht="28.5">
      <c r="A293" t="s">
        <v>1356</v>
      </c>
      <c r="B293" t="s">
        <v>2013</v>
      </c>
      <c r="C293" t="s">
        <v>448</v>
      </c>
      <c r="D293" t="s">
        <v>27</v>
      </c>
      <c r="E293" t="s">
        <v>449</v>
      </c>
      <c r="F293" s="6">
        <v>46302</v>
      </c>
      <c r="G293" s="1" t="s">
        <v>873</v>
      </c>
      <c r="H293" s="1" t="s">
        <v>1353</v>
      </c>
      <c r="I293" t="s">
        <v>2014</v>
      </c>
      <c r="J293" t="s">
        <v>2014</v>
      </c>
      <c r="K293">
        <v>123</v>
      </c>
      <c r="N293" s="1" t="s">
        <v>220</v>
      </c>
      <c r="O293" s="1">
        <v>18</v>
      </c>
      <c r="P293" s="1" t="s">
        <v>450</v>
      </c>
      <c r="Q293" s="1" t="s">
        <v>220</v>
      </c>
      <c r="R293" s="1" t="s">
        <v>370</v>
      </c>
      <c r="S293" s="1" t="s">
        <v>403</v>
      </c>
      <c r="T293" s="1" t="s">
        <v>23</v>
      </c>
      <c r="U293" s="1" t="s">
        <v>873</v>
      </c>
      <c r="V293" s="1" t="s">
        <v>1354</v>
      </c>
      <c r="W293" s="1" t="s">
        <v>1355</v>
      </c>
    </row>
  </sheetData>
  <dataValidations count="2">
    <dataValidation type="list" sqref="C2:C293" xr:uid="{00000000-0002-0000-0200-000000000000}">
      <formula1>"Oral,Poster,Award"</formula1>
    </dataValidation>
    <dataValidation type="list" sqref="D2:D293" xr:uid="{00000000-0002-0000-0200-000001000000}">
      <formula1>"Yes,No"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1"/>
  <sheetViews>
    <sheetView workbookViewId="0"/>
  </sheetViews>
  <sheetFormatPr defaultRowHeight="14.25"/>
  <cols>
    <col min="1" max="2" width="12" customWidth="1"/>
    <col min="3" max="3" width="18" customWidth="1"/>
    <col min="4" max="5" width="10" customWidth="1"/>
    <col min="6" max="6" width="26" customWidth="1"/>
    <col min="7" max="7" width="55" customWidth="1"/>
    <col min="8" max="8" width="18" customWidth="1"/>
    <col min="9" max="9" width="28" customWidth="1"/>
    <col min="10" max="10" width="42" customWidth="1"/>
    <col min="11" max="11" width="11" customWidth="1"/>
    <col min="12" max="12" width="22" customWidth="1"/>
    <col min="13" max="13" width="16" customWidth="1"/>
    <col min="14" max="14" width="55" customWidth="1"/>
    <col min="15" max="15" width="42" customWidth="1"/>
  </cols>
  <sheetData>
    <row r="1" spans="1:15" ht="30" customHeight="1">
      <c r="A1" s="2" t="s">
        <v>1772</v>
      </c>
      <c r="B1" s="2" t="s">
        <v>1</v>
      </c>
      <c r="C1" s="2" t="s">
        <v>3</v>
      </c>
      <c r="D1" s="2" t="s">
        <v>4</v>
      </c>
      <c r="E1" s="2" t="s">
        <v>5</v>
      </c>
      <c r="F1" s="2" t="s">
        <v>6</v>
      </c>
      <c r="G1" s="2" t="s">
        <v>435</v>
      </c>
      <c r="H1" s="2" t="s">
        <v>1773</v>
      </c>
      <c r="I1" s="2" t="s">
        <v>1774</v>
      </c>
      <c r="J1" s="2" t="s">
        <v>1775</v>
      </c>
      <c r="K1" s="2" t="s">
        <v>10</v>
      </c>
      <c r="L1" s="2" t="s">
        <v>11</v>
      </c>
      <c r="M1" s="2" t="s">
        <v>12</v>
      </c>
      <c r="N1" s="2" t="s">
        <v>14</v>
      </c>
      <c r="O1" s="2" t="s">
        <v>15</v>
      </c>
    </row>
    <row r="2" spans="1:15" ht="28.5">
      <c r="A2" s="1" t="s">
        <v>25</v>
      </c>
      <c r="B2" s="3">
        <v>46299</v>
      </c>
      <c r="C2" s="1" t="s">
        <v>20</v>
      </c>
      <c r="D2" s="1" t="s">
        <v>21</v>
      </c>
      <c r="E2" s="1" t="s">
        <v>22</v>
      </c>
      <c r="F2" s="1" t="s">
        <v>23</v>
      </c>
      <c r="G2" s="1" t="s">
        <v>26</v>
      </c>
      <c r="H2" s="1" t="s">
        <v>1776</v>
      </c>
      <c r="I2" s="1" t="s">
        <v>29</v>
      </c>
      <c r="J2" s="1"/>
      <c r="K2" s="1" t="s">
        <v>27</v>
      </c>
      <c r="L2" s="1" t="s">
        <v>28</v>
      </c>
      <c r="M2" s="1">
        <v>5</v>
      </c>
      <c r="N2" s="1" t="s">
        <v>26</v>
      </c>
      <c r="O2" s="1"/>
    </row>
    <row r="3" spans="1:15" ht="28.5">
      <c r="A3" s="1" t="s">
        <v>56</v>
      </c>
      <c r="B3" s="3">
        <v>46299</v>
      </c>
      <c r="C3" s="1" t="s">
        <v>54</v>
      </c>
      <c r="D3" s="1" t="s">
        <v>47</v>
      </c>
      <c r="E3" s="1" t="s">
        <v>55</v>
      </c>
      <c r="F3" s="1" t="s">
        <v>23</v>
      </c>
      <c r="G3" s="1" t="s">
        <v>57</v>
      </c>
      <c r="H3" s="1" t="s">
        <v>1776</v>
      </c>
      <c r="I3" s="1" t="s">
        <v>29</v>
      </c>
      <c r="J3" s="1"/>
      <c r="K3" s="1" t="s">
        <v>27</v>
      </c>
      <c r="L3" s="1" t="s">
        <v>28</v>
      </c>
      <c r="M3" s="1">
        <v>6</v>
      </c>
      <c r="N3" s="1" t="s">
        <v>57</v>
      </c>
      <c r="O3" s="1"/>
    </row>
    <row r="4" spans="1:15" ht="28.5">
      <c r="A4" s="1" t="s">
        <v>59</v>
      </c>
      <c r="B4" s="3">
        <v>46299</v>
      </c>
      <c r="C4" s="1" t="s">
        <v>54</v>
      </c>
      <c r="D4" s="1" t="s">
        <v>47</v>
      </c>
      <c r="E4" s="1" t="s">
        <v>55</v>
      </c>
      <c r="F4" s="1" t="s">
        <v>33</v>
      </c>
      <c r="G4" s="1" t="s">
        <v>60</v>
      </c>
      <c r="H4" s="1" t="s">
        <v>1776</v>
      </c>
      <c r="I4" s="1" t="s">
        <v>29</v>
      </c>
      <c r="J4" s="1"/>
      <c r="K4" s="1" t="s">
        <v>27</v>
      </c>
      <c r="L4" s="1" t="s">
        <v>28</v>
      </c>
      <c r="M4" s="1">
        <v>6</v>
      </c>
      <c r="N4" s="1" t="s">
        <v>60</v>
      </c>
      <c r="O4" s="1"/>
    </row>
    <row r="5" spans="1:15" ht="28.5">
      <c r="A5" s="1" t="s">
        <v>62</v>
      </c>
      <c r="B5" s="3">
        <v>46299</v>
      </c>
      <c r="C5" s="1" t="s">
        <v>54</v>
      </c>
      <c r="D5" s="1" t="s">
        <v>47</v>
      </c>
      <c r="E5" s="1" t="s">
        <v>55</v>
      </c>
      <c r="F5" s="1" t="s">
        <v>41</v>
      </c>
      <c r="G5" s="1" t="s">
        <v>63</v>
      </c>
      <c r="H5" s="1" t="s">
        <v>1776</v>
      </c>
      <c r="I5" s="1" t="s">
        <v>29</v>
      </c>
      <c r="J5" s="1"/>
      <c r="K5" s="1" t="s">
        <v>27</v>
      </c>
      <c r="L5" s="1" t="s">
        <v>28</v>
      </c>
      <c r="M5" s="1">
        <v>6</v>
      </c>
      <c r="N5" s="1" t="s">
        <v>63</v>
      </c>
      <c r="O5" s="1"/>
    </row>
    <row r="6" spans="1:15">
      <c r="A6" s="1" t="s">
        <v>50</v>
      </c>
      <c r="B6" s="3">
        <v>46299</v>
      </c>
      <c r="C6" s="1" t="s">
        <v>46</v>
      </c>
      <c r="D6" s="1" t="s">
        <v>47</v>
      </c>
      <c r="E6" s="1" t="s">
        <v>48</v>
      </c>
      <c r="F6" s="1" t="s">
        <v>49</v>
      </c>
      <c r="G6" s="1" t="s">
        <v>51</v>
      </c>
      <c r="H6" s="1" t="s">
        <v>24</v>
      </c>
      <c r="I6" s="1" t="s">
        <v>52</v>
      </c>
      <c r="J6" s="1"/>
      <c r="K6" s="1" t="s">
        <v>27</v>
      </c>
      <c r="L6" s="1" t="s">
        <v>28</v>
      </c>
      <c r="M6" s="1">
        <v>7</v>
      </c>
      <c r="N6" s="1" t="s">
        <v>51</v>
      </c>
      <c r="O6" s="1"/>
    </row>
    <row r="7" spans="1:15">
      <c r="A7" s="1" t="s">
        <v>68</v>
      </c>
      <c r="B7" s="3">
        <v>46299</v>
      </c>
      <c r="C7" s="1" t="s">
        <v>65</v>
      </c>
      <c r="D7" s="1" t="s">
        <v>66</v>
      </c>
      <c r="E7" s="1" t="s">
        <v>67</v>
      </c>
      <c r="F7" s="1" t="s">
        <v>49</v>
      </c>
      <c r="G7" s="1" t="s">
        <v>69</v>
      </c>
      <c r="H7" s="1" t="s">
        <v>1777</v>
      </c>
      <c r="I7" s="1" t="s">
        <v>70</v>
      </c>
      <c r="J7" s="1"/>
      <c r="K7" s="1" t="s">
        <v>27</v>
      </c>
      <c r="L7" s="1" t="s">
        <v>28</v>
      </c>
      <c r="M7" s="1">
        <v>8</v>
      </c>
      <c r="N7" s="1" t="s">
        <v>69</v>
      </c>
      <c r="O7" s="1"/>
    </row>
    <row r="8" spans="1:15">
      <c r="A8" s="1" t="s">
        <v>76</v>
      </c>
      <c r="B8" s="3">
        <v>46299</v>
      </c>
      <c r="C8" s="1" t="s">
        <v>72</v>
      </c>
      <c r="D8" s="1" t="s">
        <v>73</v>
      </c>
      <c r="E8" s="1" t="s">
        <v>74</v>
      </c>
      <c r="F8" s="1" t="s">
        <v>75</v>
      </c>
      <c r="G8" s="1" t="s">
        <v>77</v>
      </c>
      <c r="H8" s="1" t="s">
        <v>1778</v>
      </c>
      <c r="I8" s="1" t="s">
        <v>78</v>
      </c>
      <c r="J8" s="1"/>
      <c r="K8" s="1" t="s">
        <v>27</v>
      </c>
      <c r="L8" s="1" t="s">
        <v>28</v>
      </c>
      <c r="M8" s="1">
        <v>10</v>
      </c>
      <c r="N8" s="1" t="s">
        <v>77</v>
      </c>
      <c r="O8" s="1"/>
    </row>
    <row r="9" spans="1:15" ht="28.5">
      <c r="A9" s="1" t="s">
        <v>84</v>
      </c>
      <c r="B9" s="3">
        <v>46300</v>
      </c>
      <c r="C9" s="1" t="s">
        <v>82</v>
      </c>
      <c r="D9" s="1" t="s">
        <v>21</v>
      </c>
      <c r="E9" s="1" t="s">
        <v>83</v>
      </c>
      <c r="F9" s="1" t="s">
        <v>49</v>
      </c>
      <c r="G9" s="1" t="s">
        <v>85</v>
      </c>
      <c r="H9" s="1" t="s">
        <v>1779</v>
      </c>
      <c r="I9" s="1" t="s">
        <v>86</v>
      </c>
      <c r="J9" s="1"/>
      <c r="K9" s="1" t="s">
        <v>27</v>
      </c>
      <c r="L9" s="1" t="s">
        <v>28</v>
      </c>
      <c r="M9" s="1">
        <v>14</v>
      </c>
      <c r="N9" s="1" t="s">
        <v>85</v>
      </c>
      <c r="O9" s="1"/>
    </row>
    <row r="10" spans="1:15">
      <c r="A10" s="1" t="s">
        <v>90</v>
      </c>
      <c r="B10" s="3">
        <v>46300</v>
      </c>
      <c r="C10" s="1" t="s">
        <v>88</v>
      </c>
      <c r="D10" s="1" t="s">
        <v>83</v>
      </c>
      <c r="E10" s="1" t="s">
        <v>89</v>
      </c>
      <c r="F10" s="1" t="s">
        <v>75</v>
      </c>
      <c r="G10" s="1" t="s">
        <v>91</v>
      </c>
      <c r="H10" s="1" t="s">
        <v>1780</v>
      </c>
      <c r="I10" s="1" t="s">
        <v>91</v>
      </c>
      <c r="J10" s="1"/>
      <c r="K10" s="1" t="s">
        <v>27</v>
      </c>
      <c r="L10" s="1" t="s">
        <v>28</v>
      </c>
      <c r="M10" s="1">
        <v>15</v>
      </c>
      <c r="N10" s="1" t="s">
        <v>91</v>
      </c>
      <c r="O10" s="1"/>
    </row>
    <row r="11" spans="1:15">
      <c r="A11" s="1" t="s">
        <v>102</v>
      </c>
      <c r="B11" s="3">
        <v>46300</v>
      </c>
      <c r="C11" s="1" t="s">
        <v>93</v>
      </c>
      <c r="D11" s="1" t="s">
        <v>89</v>
      </c>
      <c r="E11" s="1" t="s">
        <v>94</v>
      </c>
      <c r="F11" s="1" t="s">
        <v>101</v>
      </c>
      <c r="G11" s="1" t="s">
        <v>103</v>
      </c>
      <c r="H11" s="1" t="s">
        <v>1781</v>
      </c>
      <c r="I11" s="1" t="s">
        <v>98</v>
      </c>
      <c r="J11" s="1"/>
      <c r="K11" s="1" t="s">
        <v>27</v>
      </c>
      <c r="L11" s="1" t="s">
        <v>28</v>
      </c>
      <c r="M11" s="1">
        <v>16</v>
      </c>
      <c r="N11" s="1" t="s">
        <v>103</v>
      </c>
      <c r="O11" s="1"/>
    </row>
    <row r="12" spans="1:15">
      <c r="A12" s="1" t="s">
        <v>117</v>
      </c>
      <c r="B12" s="3">
        <v>46300</v>
      </c>
      <c r="C12" s="1" t="s">
        <v>116</v>
      </c>
      <c r="D12" s="1" t="s">
        <v>22</v>
      </c>
      <c r="E12" s="1" t="s">
        <v>47</v>
      </c>
      <c r="F12" s="1" t="s">
        <v>75</v>
      </c>
      <c r="G12" s="1" t="s">
        <v>118</v>
      </c>
      <c r="H12" s="1" t="s">
        <v>1782</v>
      </c>
      <c r="I12" s="1" t="s">
        <v>119</v>
      </c>
      <c r="J12" s="1"/>
      <c r="K12" s="1" t="s">
        <v>27</v>
      </c>
      <c r="L12" s="1" t="s">
        <v>28</v>
      </c>
      <c r="M12" s="1">
        <v>17</v>
      </c>
      <c r="N12" s="1" t="s">
        <v>118</v>
      </c>
      <c r="O12" s="1"/>
    </row>
    <row r="13" spans="1:15">
      <c r="A13" s="1" t="s">
        <v>127</v>
      </c>
      <c r="B13" s="3">
        <v>46300</v>
      </c>
      <c r="C13" s="1" t="s">
        <v>121</v>
      </c>
      <c r="D13" s="1" t="s">
        <v>47</v>
      </c>
      <c r="E13" s="1" t="s">
        <v>122</v>
      </c>
      <c r="F13" s="1" t="s">
        <v>101</v>
      </c>
      <c r="G13" s="1" t="s">
        <v>103</v>
      </c>
      <c r="H13" s="1" t="s">
        <v>1781</v>
      </c>
      <c r="I13" s="1" t="s">
        <v>124</v>
      </c>
      <c r="J13" s="1"/>
      <c r="K13" s="1" t="s">
        <v>27</v>
      </c>
      <c r="L13" s="1" t="s">
        <v>28</v>
      </c>
      <c r="M13" s="1">
        <v>18</v>
      </c>
      <c r="N13" s="1" t="s">
        <v>103</v>
      </c>
      <c r="O13" s="1"/>
    </row>
    <row r="14" spans="1:15">
      <c r="A14" s="1" t="s">
        <v>140</v>
      </c>
      <c r="B14" s="3">
        <v>46300</v>
      </c>
      <c r="C14" s="1" t="s">
        <v>137</v>
      </c>
      <c r="D14" s="1" t="s">
        <v>138</v>
      </c>
      <c r="E14" s="1" t="s">
        <v>139</v>
      </c>
      <c r="F14" s="1" t="s">
        <v>75</v>
      </c>
      <c r="G14" s="1" t="s">
        <v>91</v>
      </c>
      <c r="H14" s="1" t="s">
        <v>1780</v>
      </c>
      <c r="I14" s="1" t="s">
        <v>91</v>
      </c>
      <c r="J14" s="1"/>
      <c r="K14" s="1" t="s">
        <v>27</v>
      </c>
      <c r="L14" s="1" t="s">
        <v>28</v>
      </c>
      <c r="M14" s="1">
        <v>19</v>
      </c>
      <c r="N14" s="1" t="s">
        <v>91</v>
      </c>
      <c r="O14" s="1"/>
    </row>
    <row r="15" spans="1:15" ht="28.5">
      <c r="A15" s="1" t="s">
        <v>186</v>
      </c>
      <c r="B15" s="3">
        <v>46301</v>
      </c>
      <c r="C15" s="1" t="s">
        <v>82</v>
      </c>
      <c r="D15" s="1" t="s">
        <v>21</v>
      </c>
      <c r="E15" s="1" t="s">
        <v>83</v>
      </c>
      <c r="F15" s="1" t="s">
        <v>49</v>
      </c>
      <c r="G15" s="1" t="s">
        <v>187</v>
      </c>
      <c r="H15" s="1" t="s">
        <v>1783</v>
      </c>
      <c r="I15" s="1" t="s">
        <v>188</v>
      </c>
      <c r="J15" s="1"/>
      <c r="K15" s="1" t="s">
        <v>27</v>
      </c>
      <c r="L15" s="1" t="s">
        <v>28</v>
      </c>
      <c r="M15" s="1">
        <v>28</v>
      </c>
      <c r="N15" s="1" t="s">
        <v>187</v>
      </c>
      <c r="O15" s="1"/>
    </row>
    <row r="16" spans="1:15">
      <c r="A16" s="1" t="s">
        <v>190</v>
      </c>
      <c r="B16" s="3">
        <v>46301</v>
      </c>
      <c r="C16" s="1" t="s">
        <v>88</v>
      </c>
      <c r="D16" s="1" t="s">
        <v>83</v>
      </c>
      <c r="E16" s="1" t="s">
        <v>89</v>
      </c>
      <c r="F16" s="1" t="s">
        <v>75</v>
      </c>
      <c r="G16" s="1" t="s">
        <v>91</v>
      </c>
      <c r="H16" s="1" t="s">
        <v>1780</v>
      </c>
      <c r="I16" s="1" t="s">
        <v>91</v>
      </c>
      <c r="J16" s="1"/>
      <c r="K16" s="1" t="s">
        <v>27</v>
      </c>
      <c r="L16" s="1" t="s">
        <v>28</v>
      </c>
      <c r="M16" s="1">
        <v>29</v>
      </c>
      <c r="N16" s="1" t="s">
        <v>91</v>
      </c>
      <c r="O16" s="1"/>
    </row>
    <row r="17" spans="1:15">
      <c r="A17" s="1" t="s">
        <v>196</v>
      </c>
      <c r="B17" s="3">
        <v>46301</v>
      </c>
      <c r="C17" s="1" t="s">
        <v>93</v>
      </c>
      <c r="D17" s="1" t="s">
        <v>89</v>
      </c>
      <c r="E17" s="1" t="s">
        <v>94</v>
      </c>
      <c r="F17" s="1" t="s">
        <v>101</v>
      </c>
      <c r="G17" s="1" t="s">
        <v>103</v>
      </c>
      <c r="H17" s="1" t="s">
        <v>1781</v>
      </c>
      <c r="I17" s="1" t="s">
        <v>98</v>
      </c>
      <c r="J17" s="1"/>
      <c r="K17" s="1" t="s">
        <v>27</v>
      </c>
      <c r="L17" s="1" t="s">
        <v>28</v>
      </c>
      <c r="M17" s="1">
        <v>30</v>
      </c>
      <c r="N17" s="1" t="s">
        <v>103</v>
      </c>
      <c r="O17" s="1"/>
    </row>
    <row r="18" spans="1:15">
      <c r="A18" s="1" t="s">
        <v>207</v>
      </c>
      <c r="B18" s="3">
        <v>46301</v>
      </c>
      <c r="C18" s="1" t="s">
        <v>116</v>
      </c>
      <c r="D18" s="1" t="s">
        <v>22</v>
      </c>
      <c r="E18" s="1" t="s">
        <v>47</v>
      </c>
      <c r="F18" s="1" t="s">
        <v>75</v>
      </c>
      <c r="G18" s="1" t="s">
        <v>208</v>
      </c>
      <c r="H18" s="1" t="s">
        <v>1782</v>
      </c>
      <c r="I18" s="1" t="s">
        <v>208</v>
      </c>
      <c r="J18" s="1"/>
      <c r="K18" s="1" t="s">
        <v>27</v>
      </c>
      <c r="L18" s="1" t="s">
        <v>28</v>
      </c>
      <c r="M18" s="1">
        <v>31</v>
      </c>
      <c r="N18" s="1" t="s">
        <v>208</v>
      </c>
      <c r="O18" s="1"/>
    </row>
    <row r="19" spans="1:15">
      <c r="A19" s="1" t="s">
        <v>217</v>
      </c>
      <c r="B19" s="3">
        <v>46301</v>
      </c>
      <c r="C19" s="1" t="s">
        <v>121</v>
      </c>
      <c r="D19" s="1" t="s">
        <v>47</v>
      </c>
      <c r="E19" s="1" t="s">
        <v>122</v>
      </c>
      <c r="F19" s="1" t="s">
        <v>101</v>
      </c>
      <c r="G19" s="1" t="s">
        <v>103</v>
      </c>
      <c r="H19" s="1" t="s">
        <v>1781</v>
      </c>
      <c r="I19" s="1" t="s">
        <v>212</v>
      </c>
      <c r="J19" s="1"/>
      <c r="K19" s="1" t="s">
        <v>27</v>
      </c>
      <c r="L19" s="1" t="s">
        <v>28</v>
      </c>
      <c r="M19" s="1">
        <v>32</v>
      </c>
      <c r="N19" s="1" t="s">
        <v>103</v>
      </c>
      <c r="O19" s="1"/>
    </row>
    <row r="20" spans="1:15">
      <c r="A20" s="1" t="s">
        <v>226</v>
      </c>
      <c r="B20" s="3">
        <v>46301</v>
      </c>
      <c r="C20" s="1" t="s">
        <v>137</v>
      </c>
      <c r="D20" s="1" t="s">
        <v>138</v>
      </c>
      <c r="E20" s="1" t="s">
        <v>139</v>
      </c>
      <c r="F20" s="1" t="s">
        <v>75</v>
      </c>
      <c r="G20" s="1" t="s">
        <v>91</v>
      </c>
      <c r="H20" s="1" t="s">
        <v>1780</v>
      </c>
      <c r="I20" s="1" t="s">
        <v>91</v>
      </c>
      <c r="J20" s="1"/>
      <c r="K20" s="1" t="s">
        <v>27</v>
      </c>
      <c r="L20" s="1" t="s">
        <v>28</v>
      </c>
      <c r="M20" s="1">
        <v>33</v>
      </c>
      <c r="N20" s="1" t="s">
        <v>91</v>
      </c>
      <c r="O20" s="1"/>
    </row>
    <row r="21" spans="1:15" ht="42.75">
      <c r="A21" s="1" t="s">
        <v>230</v>
      </c>
      <c r="B21" s="3">
        <v>46301</v>
      </c>
      <c r="C21" s="1" t="s">
        <v>228</v>
      </c>
      <c r="D21" s="1" t="s">
        <v>122</v>
      </c>
      <c r="E21" s="1" t="s">
        <v>229</v>
      </c>
      <c r="F21" s="1" t="s">
        <v>23</v>
      </c>
      <c r="G21" s="1" t="s">
        <v>231</v>
      </c>
      <c r="H21" s="1" t="s">
        <v>173</v>
      </c>
      <c r="I21" s="1" t="s">
        <v>232</v>
      </c>
      <c r="J21" s="1" t="s">
        <v>1784</v>
      </c>
      <c r="K21" s="1" t="s">
        <v>27</v>
      </c>
      <c r="L21" s="1" t="s">
        <v>28</v>
      </c>
      <c r="M21" s="1">
        <v>34</v>
      </c>
      <c r="N21" s="1" t="s">
        <v>233</v>
      </c>
      <c r="O21" s="1" t="s">
        <v>234</v>
      </c>
    </row>
    <row r="22" spans="1:15">
      <c r="A22" s="1" t="s">
        <v>241</v>
      </c>
      <c r="B22" s="3">
        <v>46301</v>
      </c>
      <c r="C22" s="1" t="s">
        <v>142</v>
      </c>
      <c r="D22" s="1" t="s">
        <v>143</v>
      </c>
      <c r="E22" s="1" t="s">
        <v>144</v>
      </c>
      <c r="F22" s="1" t="s">
        <v>101</v>
      </c>
      <c r="G22" s="1" t="s">
        <v>242</v>
      </c>
      <c r="H22" s="1" t="s">
        <v>173</v>
      </c>
      <c r="I22" s="1" t="s">
        <v>232</v>
      </c>
      <c r="J22" s="1"/>
      <c r="K22" s="1" t="s">
        <v>27</v>
      </c>
      <c r="L22" s="1" t="s">
        <v>28</v>
      </c>
      <c r="M22" s="1">
        <v>34</v>
      </c>
      <c r="N22" s="1" t="s">
        <v>242</v>
      </c>
      <c r="O22" s="1"/>
    </row>
    <row r="23" spans="1:15">
      <c r="A23" s="1" t="s">
        <v>261</v>
      </c>
      <c r="B23" s="3">
        <v>46302</v>
      </c>
      <c r="C23" s="1" t="s">
        <v>260</v>
      </c>
      <c r="D23" s="1"/>
      <c r="E23" s="1"/>
      <c r="F23" s="1"/>
      <c r="G23" s="1" t="s">
        <v>262</v>
      </c>
      <c r="H23" s="1" t="s">
        <v>1785</v>
      </c>
      <c r="I23" s="1" t="s">
        <v>173</v>
      </c>
      <c r="J23" s="1"/>
      <c r="K23" s="1" t="s">
        <v>27</v>
      </c>
      <c r="L23" s="1" t="s">
        <v>28</v>
      </c>
      <c r="M23" s="1">
        <v>40</v>
      </c>
      <c r="N23" s="1" t="s">
        <v>262</v>
      </c>
      <c r="O23" s="1"/>
    </row>
    <row r="24" spans="1:15" ht="42.75">
      <c r="A24" s="1" t="s">
        <v>256</v>
      </c>
      <c r="B24" s="3">
        <v>46302</v>
      </c>
      <c r="C24" s="1" t="s">
        <v>255</v>
      </c>
      <c r="D24" s="1" t="s">
        <v>144</v>
      </c>
      <c r="E24" s="1" t="s">
        <v>73</v>
      </c>
      <c r="F24" s="1"/>
      <c r="G24" s="1" t="s">
        <v>257</v>
      </c>
      <c r="H24" s="1" t="s">
        <v>173</v>
      </c>
      <c r="I24" s="1" t="s">
        <v>173</v>
      </c>
      <c r="J24" s="1" t="s">
        <v>1784</v>
      </c>
      <c r="K24" s="1" t="s">
        <v>27</v>
      </c>
      <c r="L24" s="1" t="s">
        <v>28</v>
      </c>
      <c r="M24" s="1">
        <v>41</v>
      </c>
      <c r="N24" s="1" t="s">
        <v>257</v>
      </c>
      <c r="O24" s="1"/>
    </row>
    <row r="25" spans="1:15" ht="28.5">
      <c r="A25" s="1" t="s">
        <v>265</v>
      </c>
      <c r="B25" s="3">
        <v>46303</v>
      </c>
      <c r="C25" s="1" t="s">
        <v>82</v>
      </c>
      <c r="D25" s="1" t="s">
        <v>21</v>
      </c>
      <c r="E25" s="1" t="s">
        <v>83</v>
      </c>
      <c r="F25" s="1" t="s">
        <v>49</v>
      </c>
      <c r="G25" s="1" t="s">
        <v>266</v>
      </c>
      <c r="H25" s="1" t="s">
        <v>1779</v>
      </c>
      <c r="I25" s="1" t="s">
        <v>267</v>
      </c>
      <c r="J25" s="1"/>
      <c r="K25" s="1" t="s">
        <v>27</v>
      </c>
      <c r="L25" s="1" t="s">
        <v>28</v>
      </c>
      <c r="M25" s="1">
        <v>46</v>
      </c>
      <c r="N25" s="1" t="s">
        <v>266</v>
      </c>
      <c r="O25" s="1"/>
    </row>
    <row r="26" spans="1:15">
      <c r="A26" s="1" t="s">
        <v>269</v>
      </c>
      <c r="B26" s="3">
        <v>46303</v>
      </c>
      <c r="C26" s="1" t="s">
        <v>88</v>
      </c>
      <c r="D26" s="1" t="s">
        <v>83</v>
      </c>
      <c r="E26" s="1" t="s">
        <v>89</v>
      </c>
      <c r="F26" s="1" t="s">
        <v>75</v>
      </c>
      <c r="G26" s="1" t="s">
        <v>91</v>
      </c>
      <c r="H26" s="1" t="s">
        <v>1780</v>
      </c>
      <c r="I26" s="1" t="s">
        <v>91</v>
      </c>
      <c r="J26" s="1"/>
      <c r="K26" s="1" t="s">
        <v>27</v>
      </c>
      <c r="L26" s="1" t="s">
        <v>28</v>
      </c>
      <c r="M26" s="1">
        <v>47</v>
      </c>
      <c r="N26" s="1" t="s">
        <v>91</v>
      </c>
      <c r="O26" s="1"/>
    </row>
    <row r="27" spans="1:15">
      <c r="A27" s="1" t="s">
        <v>275</v>
      </c>
      <c r="B27" s="3">
        <v>46303</v>
      </c>
      <c r="C27" s="1" t="s">
        <v>93</v>
      </c>
      <c r="D27" s="1" t="s">
        <v>89</v>
      </c>
      <c r="E27" s="1" t="s">
        <v>94</v>
      </c>
      <c r="F27" s="1" t="s">
        <v>101</v>
      </c>
      <c r="G27" s="1" t="s">
        <v>103</v>
      </c>
      <c r="H27" s="1" t="s">
        <v>1781</v>
      </c>
      <c r="I27" s="1" t="s">
        <v>98</v>
      </c>
      <c r="J27" s="1"/>
      <c r="K27" s="1" t="s">
        <v>27</v>
      </c>
      <c r="L27" s="1" t="s">
        <v>28</v>
      </c>
      <c r="M27" s="1">
        <v>48</v>
      </c>
      <c r="N27" s="1" t="s">
        <v>103</v>
      </c>
      <c r="O27" s="1"/>
    </row>
    <row r="28" spans="1:15">
      <c r="A28" s="1" t="s">
        <v>285</v>
      </c>
      <c r="B28" s="3">
        <v>46303</v>
      </c>
      <c r="C28" s="1" t="s">
        <v>116</v>
      </c>
      <c r="D28" s="1" t="s">
        <v>22</v>
      </c>
      <c r="E28" s="1" t="s">
        <v>47</v>
      </c>
      <c r="F28" s="1" t="s">
        <v>75</v>
      </c>
      <c r="G28" s="1" t="s">
        <v>208</v>
      </c>
      <c r="H28" s="1" t="s">
        <v>1782</v>
      </c>
      <c r="I28" s="1" t="s">
        <v>208</v>
      </c>
      <c r="J28" s="1"/>
      <c r="K28" s="1" t="s">
        <v>27</v>
      </c>
      <c r="L28" s="1" t="s">
        <v>28</v>
      </c>
      <c r="M28" s="1">
        <v>49</v>
      </c>
      <c r="N28" s="1" t="s">
        <v>208</v>
      </c>
      <c r="O28" s="1"/>
    </row>
    <row r="29" spans="1:15" ht="28.5">
      <c r="A29" s="1" t="s">
        <v>305</v>
      </c>
      <c r="B29" s="3">
        <v>46303</v>
      </c>
      <c r="C29" s="1" t="s">
        <v>303</v>
      </c>
      <c r="D29" s="1" t="s">
        <v>138</v>
      </c>
      <c r="E29" s="1" t="s">
        <v>143</v>
      </c>
      <c r="F29" s="1" t="s">
        <v>304</v>
      </c>
      <c r="G29" s="1" t="s">
        <v>91</v>
      </c>
      <c r="H29" s="1" t="s">
        <v>1780</v>
      </c>
      <c r="I29" s="1" t="s">
        <v>91</v>
      </c>
      <c r="J29" s="1"/>
      <c r="K29" s="1" t="s">
        <v>27</v>
      </c>
      <c r="L29" s="1" t="s">
        <v>28</v>
      </c>
      <c r="M29" s="1">
        <v>51</v>
      </c>
      <c r="N29" s="1" t="s">
        <v>91</v>
      </c>
      <c r="O29" s="1" t="s">
        <v>306</v>
      </c>
    </row>
    <row r="30" spans="1:15">
      <c r="A30" s="1" t="s">
        <v>309</v>
      </c>
      <c r="B30" s="3">
        <v>46303</v>
      </c>
      <c r="C30" s="1" t="s">
        <v>303</v>
      </c>
      <c r="D30" s="1" t="s">
        <v>138</v>
      </c>
      <c r="E30" s="1" t="s">
        <v>143</v>
      </c>
      <c r="F30" s="1" t="s">
        <v>101</v>
      </c>
      <c r="G30" s="1" t="s">
        <v>310</v>
      </c>
      <c r="H30" s="1" t="s">
        <v>1780</v>
      </c>
      <c r="I30" s="1" t="s">
        <v>91</v>
      </c>
      <c r="J30" s="1"/>
      <c r="K30" s="1" t="s">
        <v>27</v>
      </c>
      <c r="L30" s="1" t="s">
        <v>28</v>
      </c>
      <c r="M30" s="1">
        <v>51</v>
      </c>
      <c r="N30" s="1" t="s">
        <v>310</v>
      </c>
      <c r="O30" s="1"/>
    </row>
    <row r="31" spans="1:15">
      <c r="A31" s="1" t="s">
        <v>330</v>
      </c>
      <c r="B31" s="3">
        <v>46303</v>
      </c>
      <c r="C31" s="1" t="s">
        <v>163</v>
      </c>
      <c r="D31" s="1" t="s">
        <v>66</v>
      </c>
      <c r="E31" s="1" t="s">
        <v>164</v>
      </c>
      <c r="F31" s="1" t="s">
        <v>101</v>
      </c>
      <c r="G31" s="1" t="s">
        <v>331</v>
      </c>
      <c r="H31" s="1" t="s">
        <v>1786</v>
      </c>
      <c r="I31" s="1" t="s">
        <v>331</v>
      </c>
      <c r="J31" s="1"/>
      <c r="K31" s="1" t="s">
        <v>27</v>
      </c>
      <c r="L31" s="1" t="s">
        <v>28</v>
      </c>
      <c r="M31" s="1">
        <v>53</v>
      </c>
      <c r="N31" s="1" t="s">
        <v>331</v>
      </c>
      <c r="O31" s="1"/>
    </row>
    <row r="32" spans="1:15">
      <c r="A32" s="1" t="s">
        <v>335</v>
      </c>
      <c r="B32" s="3">
        <v>46303</v>
      </c>
      <c r="C32" s="1" t="s">
        <v>333</v>
      </c>
      <c r="D32" s="1" t="s">
        <v>73</v>
      </c>
      <c r="E32" s="1" t="s">
        <v>334</v>
      </c>
      <c r="F32" s="1" t="s">
        <v>75</v>
      </c>
      <c r="G32" s="1" t="s">
        <v>336</v>
      </c>
      <c r="H32" s="1" t="s">
        <v>1778</v>
      </c>
      <c r="I32" s="1" t="s">
        <v>336</v>
      </c>
      <c r="J32" s="1"/>
      <c r="K32" s="1" t="s">
        <v>27</v>
      </c>
      <c r="L32" s="1" t="s">
        <v>28</v>
      </c>
      <c r="M32" s="1">
        <v>57</v>
      </c>
      <c r="N32" s="1" t="s">
        <v>336</v>
      </c>
      <c r="O32" s="1"/>
    </row>
    <row r="33" spans="1:15" ht="28.5">
      <c r="A33" s="1" t="s">
        <v>339</v>
      </c>
      <c r="B33" s="3">
        <v>46304</v>
      </c>
      <c r="C33" s="1" t="s">
        <v>82</v>
      </c>
      <c r="D33" s="1" t="s">
        <v>21</v>
      </c>
      <c r="E33" s="1" t="s">
        <v>83</v>
      </c>
      <c r="F33" s="1" t="s">
        <v>49</v>
      </c>
      <c r="G33" s="1" t="s">
        <v>340</v>
      </c>
      <c r="H33" s="1" t="s">
        <v>1779</v>
      </c>
      <c r="I33" s="1" t="s">
        <v>341</v>
      </c>
      <c r="J33" s="1"/>
      <c r="K33" s="1" t="s">
        <v>27</v>
      </c>
      <c r="L33" s="1" t="s">
        <v>28</v>
      </c>
      <c r="M33" s="1">
        <v>64</v>
      </c>
      <c r="N33" s="1" t="s">
        <v>340</v>
      </c>
      <c r="O33" s="1"/>
    </row>
    <row r="34" spans="1:15">
      <c r="A34" s="1" t="s">
        <v>343</v>
      </c>
      <c r="B34" s="3">
        <v>46304</v>
      </c>
      <c r="C34" s="1" t="s">
        <v>88</v>
      </c>
      <c r="D34" s="1" t="s">
        <v>83</v>
      </c>
      <c r="E34" s="1" t="s">
        <v>89</v>
      </c>
      <c r="F34" s="1" t="s">
        <v>75</v>
      </c>
      <c r="G34" s="1" t="s">
        <v>91</v>
      </c>
      <c r="H34" s="1" t="s">
        <v>1780</v>
      </c>
      <c r="I34" s="1" t="s">
        <v>91</v>
      </c>
      <c r="J34" s="1"/>
      <c r="K34" s="1" t="s">
        <v>27</v>
      </c>
      <c r="L34" s="1" t="s">
        <v>28</v>
      </c>
      <c r="M34" s="1">
        <v>65</v>
      </c>
      <c r="N34" s="1" t="s">
        <v>91</v>
      </c>
      <c r="O34" s="1"/>
    </row>
    <row r="35" spans="1:15">
      <c r="A35" s="1" t="s">
        <v>347</v>
      </c>
      <c r="B35" s="3">
        <v>46304</v>
      </c>
      <c r="C35" s="1" t="s">
        <v>345</v>
      </c>
      <c r="D35" s="1" t="s">
        <v>89</v>
      </c>
      <c r="E35" s="1" t="s">
        <v>346</v>
      </c>
      <c r="F35" s="1" t="s">
        <v>49</v>
      </c>
      <c r="G35" s="1" t="s">
        <v>348</v>
      </c>
      <c r="H35" s="1" t="s">
        <v>1777</v>
      </c>
      <c r="I35" s="1" t="s">
        <v>349</v>
      </c>
      <c r="J35" s="1"/>
      <c r="K35" s="1" t="s">
        <v>27</v>
      </c>
      <c r="L35" s="1" t="s">
        <v>28</v>
      </c>
      <c r="M35" s="1">
        <v>66</v>
      </c>
      <c r="N35" s="1" t="s">
        <v>348</v>
      </c>
      <c r="O35" s="1"/>
    </row>
    <row r="36" spans="1:15" ht="42.75">
      <c r="A36" s="1" t="s">
        <v>353</v>
      </c>
      <c r="B36" s="3">
        <v>46304</v>
      </c>
      <c r="C36" s="1" t="s">
        <v>351</v>
      </c>
      <c r="D36" s="1" t="s">
        <v>352</v>
      </c>
      <c r="E36" s="1" t="s">
        <v>48</v>
      </c>
      <c r="F36" s="1" t="s">
        <v>49</v>
      </c>
      <c r="G36" s="1" t="s">
        <v>354</v>
      </c>
      <c r="H36" s="1" t="s">
        <v>173</v>
      </c>
      <c r="I36" s="1" t="s">
        <v>355</v>
      </c>
      <c r="J36" s="1"/>
      <c r="K36" s="1" t="s">
        <v>27</v>
      </c>
      <c r="L36" s="1" t="s">
        <v>28</v>
      </c>
      <c r="M36" s="1">
        <v>70</v>
      </c>
      <c r="N36" s="1" t="s">
        <v>354</v>
      </c>
      <c r="O36" s="1"/>
    </row>
    <row r="37" spans="1:15" ht="42.75">
      <c r="A37" s="1" t="s">
        <v>179</v>
      </c>
      <c r="B37" s="3">
        <v>46300</v>
      </c>
      <c r="C37" s="1" t="s">
        <v>176</v>
      </c>
      <c r="D37" s="1" t="s">
        <v>177</v>
      </c>
      <c r="E37" s="1" t="s">
        <v>178</v>
      </c>
      <c r="F37" s="1" t="s">
        <v>23</v>
      </c>
      <c r="G37" s="1" t="s">
        <v>180</v>
      </c>
      <c r="H37" s="1" t="s">
        <v>173</v>
      </c>
      <c r="I37" s="1" t="s">
        <v>157</v>
      </c>
      <c r="J37" s="1"/>
      <c r="K37" s="1" t="s">
        <v>27</v>
      </c>
      <c r="L37" s="1" t="s">
        <v>181</v>
      </c>
      <c r="M37" s="1">
        <v>20</v>
      </c>
      <c r="N37" s="1" t="s">
        <v>182</v>
      </c>
      <c r="O37" s="1" t="s">
        <v>183</v>
      </c>
    </row>
    <row r="38" spans="1:15" ht="28.5">
      <c r="A38" s="1" t="s">
        <v>34</v>
      </c>
      <c r="B38" s="3">
        <v>46299</v>
      </c>
      <c r="C38" s="1" t="s">
        <v>32</v>
      </c>
      <c r="D38" s="1" t="s">
        <v>21</v>
      </c>
      <c r="E38" s="1" t="s">
        <v>22</v>
      </c>
      <c r="F38" s="1" t="s">
        <v>33</v>
      </c>
      <c r="G38" s="1" t="s">
        <v>35</v>
      </c>
      <c r="H38" s="1" t="s">
        <v>1776</v>
      </c>
      <c r="I38" s="1" t="s">
        <v>29</v>
      </c>
      <c r="J38" s="1"/>
      <c r="K38" s="1" t="s">
        <v>36</v>
      </c>
      <c r="L38" s="1" t="s">
        <v>37</v>
      </c>
      <c r="M38" s="1">
        <v>5</v>
      </c>
      <c r="N38" s="1" t="s">
        <v>35</v>
      </c>
      <c r="O38" s="1" t="s">
        <v>38</v>
      </c>
    </row>
    <row r="39" spans="1:15" ht="28.5">
      <c r="A39" s="1" t="s">
        <v>42</v>
      </c>
      <c r="B39" s="3">
        <v>46299</v>
      </c>
      <c r="C39" s="1" t="s">
        <v>32</v>
      </c>
      <c r="D39" s="1" t="s">
        <v>21</v>
      </c>
      <c r="E39" s="1" t="s">
        <v>22</v>
      </c>
      <c r="F39" s="1" t="s">
        <v>41</v>
      </c>
      <c r="G39" s="1" t="s">
        <v>43</v>
      </c>
      <c r="H39" s="1" t="s">
        <v>1776</v>
      </c>
      <c r="I39" s="1" t="s">
        <v>29</v>
      </c>
      <c r="J39" s="1"/>
      <c r="K39" s="1" t="s">
        <v>36</v>
      </c>
      <c r="L39" s="1" t="s">
        <v>37</v>
      </c>
      <c r="M39" s="1">
        <v>5</v>
      </c>
      <c r="N39" s="1" t="s">
        <v>43</v>
      </c>
      <c r="O39" s="1" t="s">
        <v>44</v>
      </c>
    </row>
    <row r="40" spans="1:15" ht="28.5">
      <c r="A40" s="1" t="s">
        <v>171</v>
      </c>
      <c r="B40" s="3">
        <v>46300</v>
      </c>
      <c r="C40" s="1" t="s">
        <v>170</v>
      </c>
      <c r="D40" s="1" t="s">
        <v>164</v>
      </c>
      <c r="E40" s="1" t="s">
        <v>73</v>
      </c>
      <c r="F40" s="1"/>
      <c r="G40" s="1" t="s">
        <v>172</v>
      </c>
      <c r="H40" s="1" t="s">
        <v>173</v>
      </c>
      <c r="I40" s="1" t="s">
        <v>173</v>
      </c>
      <c r="J40" s="1"/>
      <c r="K40" s="1" t="s">
        <v>36</v>
      </c>
      <c r="L40" s="1" t="s">
        <v>37</v>
      </c>
      <c r="M40" s="1">
        <v>22</v>
      </c>
      <c r="N40" s="1" t="s">
        <v>172</v>
      </c>
      <c r="O40" s="1" t="s">
        <v>174</v>
      </c>
    </row>
    <row r="41" spans="1:15" ht="42.75">
      <c r="A41" s="1" t="s">
        <v>165</v>
      </c>
      <c r="B41" s="3">
        <v>46300</v>
      </c>
      <c r="C41" s="1" t="s">
        <v>163</v>
      </c>
      <c r="D41" s="1" t="s">
        <v>66</v>
      </c>
      <c r="E41" s="1" t="s">
        <v>164</v>
      </c>
      <c r="F41" s="1" t="s">
        <v>101</v>
      </c>
      <c r="G41" s="1" t="s">
        <v>166</v>
      </c>
      <c r="H41" s="1" t="s">
        <v>1786</v>
      </c>
      <c r="I41" s="1" t="s">
        <v>146</v>
      </c>
      <c r="J41" s="1"/>
      <c r="K41" s="1" t="s">
        <v>36</v>
      </c>
      <c r="L41" s="1" t="s">
        <v>37</v>
      </c>
      <c r="M41" s="1">
        <v>20</v>
      </c>
      <c r="N41" s="1" t="s">
        <v>167</v>
      </c>
      <c r="O41" s="1" t="s">
        <v>168</v>
      </c>
    </row>
  </sheetData>
  <dataValidations count="1">
    <dataValidation type="list" sqref="K2:K41" xr:uid="{00000000-0002-0000-0300-000000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workbookViewId="0"/>
  </sheetViews>
  <sheetFormatPr defaultRowHeight="14.25"/>
  <cols>
    <col min="1" max="1" width="30" customWidth="1"/>
    <col min="2" max="2" width="80" customWidth="1"/>
    <col min="3" max="3" width="65" customWidth="1"/>
  </cols>
  <sheetData>
    <row r="1" spans="1:3" ht="30" customHeight="1">
      <c r="A1" s="2" t="s">
        <v>1787</v>
      </c>
      <c r="B1" s="2" t="s">
        <v>1788</v>
      </c>
      <c r="C1" s="2" t="s">
        <v>1789</v>
      </c>
    </row>
    <row r="2" spans="1:3" ht="28.5">
      <c r="A2" s="1" t="s">
        <v>1790</v>
      </c>
      <c r="B2" s="1" t="s">
        <v>1791</v>
      </c>
      <c r="C2" s="1" t="s">
        <v>1792</v>
      </c>
    </row>
    <row r="3" spans="1:3">
      <c r="A3" s="1" t="s">
        <v>1793</v>
      </c>
      <c r="B3" s="1" t="s">
        <v>1794</v>
      </c>
      <c r="C3" s="1"/>
    </row>
    <row r="4" spans="1:3">
      <c r="A4" s="1" t="s">
        <v>1795</v>
      </c>
      <c r="B4" s="1" t="s">
        <v>1796</v>
      </c>
      <c r="C4" s="1"/>
    </row>
    <row r="5" spans="1:3" ht="28.5">
      <c r="A5" s="1" t="s">
        <v>1797</v>
      </c>
      <c r="B5" s="1" t="s">
        <v>1798</v>
      </c>
      <c r="C5" s="1" t="s">
        <v>1799</v>
      </c>
    </row>
    <row r="6" spans="1:3" ht="28.5">
      <c r="A6" s="1" t="s">
        <v>1800</v>
      </c>
      <c r="B6" s="1" t="s">
        <v>1801</v>
      </c>
      <c r="C6" s="1" t="s">
        <v>1802</v>
      </c>
    </row>
    <row r="7" spans="1:3">
      <c r="A7" s="1" t="s">
        <v>1803</v>
      </c>
      <c r="B7" s="1" t="s">
        <v>1804</v>
      </c>
      <c r="C7" s="1" t="s">
        <v>1805</v>
      </c>
    </row>
    <row r="8" spans="1:3">
      <c r="A8" s="1" t="s">
        <v>1806</v>
      </c>
      <c r="B8" s="1" t="s">
        <v>1807</v>
      </c>
      <c r="C8" s="1" t="s">
        <v>1805</v>
      </c>
    </row>
    <row r="9" spans="1:3">
      <c r="A9" s="1" t="s">
        <v>1808</v>
      </c>
      <c r="B9" s="1" t="s">
        <v>1809</v>
      </c>
      <c r="C9" s="1" t="s">
        <v>1805</v>
      </c>
    </row>
    <row r="10" spans="1:3" ht="28.5">
      <c r="A10" s="1" t="s">
        <v>1810</v>
      </c>
      <c r="B10" s="1" t="s">
        <v>1784</v>
      </c>
      <c r="C10" s="1" t="s">
        <v>1811</v>
      </c>
    </row>
    <row r="11" spans="1:3">
      <c r="A11" s="1" t="s">
        <v>1812</v>
      </c>
      <c r="B11" s="1" t="s">
        <v>1813</v>
      </c>
      <c r="C11" s="1" t="s">
        <v>1814</v>
      </c>
    </row>
    <row r="12" spans="1:3">
      <c r="A12" s="1" t="s">
        <v>1815</v>
      </c>
      <c r="B12" s="1" t="s">
        <v>1816</v>
      </c>
      <c r="C12" s="1" t="s">
        <v>1817</v>
      </c>
    </row>
    <row r="13" spans="1:3">
      <c r="A13" s="1" t="s">
        <v>1818</v>
      </c>
      <c r="B13" s="1" t="s">
        <v>1819</v>
      </c>
      <c r="C13" s="1" t="s">
        <v>1820</v>
      </c>
    </row>
    <row r="14" spans="1:3" ht="28.5">
      <c r="A14" s="1" t="s">
        <v>1821</v>
      </c>
      <c r="B14" s="1" t="s">
        <v>1822</v>
      </c>
      <c r="C14" s="1" t="s">
        <v>1823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workbookViewId="0"/>
  </sheetViews>
  <sheetFormatPr defaultRowHeight="14.25"/>
  <cols>
    <col min="1" max="1" width="14" customWidth="1"/>
    <col min="2" max="2" width="20" customWidth="1"/>
    <col min="3" max="3" width="22" customWidth="1"/>
    <col min="4" max="4" width="28" customWidth="1"/>
    <col min="5" max="7" width="55" customWidth="1"/>
    <col min="8" max="8" width="42" customWidth="1"/>
  </cols>
  <sheetData>
    <row r="1" spans="1:8" ht="30" customHeight="1">
      <c r="A1" s="2" t="s">
        <v>1824</v>
      </c>
      <c r="B1" s="2" t="s">
        <v>1825</v>
      </c>
      <c r="C1" s="2" t="s">
        <v>1826</v>
      </c>
      <c r="D1" s="2" t="s">
        <v>6</v>
      </c>
      <c r="E1" s="2" t="s">
        <v>1827</v>
      </c>
      <c r="F1" s="2" t="s">
        <v>1828</v>
      </c>
      <c r="G1" s="2" t="s">
        <v>1829</v>
      </c>
      <c r="H1" s="2" t="s">
        <v>1830</v>
      </c>
    </row>
    <row r="2" spans="1:8" ht="28.5">
      <c r="A2" s="1" t="s">
        <v>1831</v>
      </c>
      <c r="B2" s="1" t="s">
        <v>1822</v>
      </c>
      <c r="C2" s="1" t="s">
        <v>1794</v>
      </c>
      <c r="D2" s="1" t="s">
        <v>1832</v>
      </c>
      <c r="E2" s="1" t="s">
        <v>1833</v>
      </c>
      <c r="F2" s="1" t="s">
        <v>1834</v>
      </c>
      <c r="G2" s="1" t="s">
        <v>1835</v>
      </c>
      <c r="H2" s="1" t="s">
        <v>1836</v>
      </c>
    </row>
    <row r="3" spans="1:8">
      <c r="A3" s="1" t="s">
        <v>1837</v>
      </c>
      <c r="B3" s="1" t="s">
        <v>1822</v>
      </c>
      <c r="C3" s="1" t="s">
        <v>498</v>
      </c>
      <c r="D3" s="1"/>
      <c r="E3" s="1" t="s">
        <v>1838</v>
      </c>
      <c r="F3" s="1" t="s">
        <v>1839</v>
      </c>
      <c r="G3" s="1" t="s">
        <v>1840</v>
      </c>
      <c r="H3" s="1" t="s">
        <v>1841</v>
      </c>
    </row>
    <row r="4" spans="1:8" ht="28.5">
      <c r="A4" s="1" t="s">
        <v>1842</v>
      </c>
      <c r="B4" s="1" t="s">
        <v>1822</v>
      </c>
      <c r="C4" s="1" t="s">
        <v>498</v>
      </c>
      <c r="D4" s="1" t="s">
        <v>101</v>
      </c>
      <c r="E4" s="1" t="s">
        <v>1843</v>
      </c>
      <c r="F4" s="1" t="s">
        <v>1844</v>
      </c>
      <c r="G4" s="1" t="s">
        <v>1845</v>
      </c>
      <c r="H4" s="1" t="s">
        <v>1846</v>
      </c>
    </row>
    <row r="5" spans="1:8" ht="28.5">
      <c r="A5" s="1" t="s">
        <v>1847</v>
      </c>
      <c r="B5" s="1" t="s">
        <v>1822</v>
      </c>
      <c r="C5" s="1" t="s">
        <v>450</v>
      </c>
      <c r="D5" s="1" t="s">
        <v>23</v>
      </c>
      <c r="E5" s="1" t="s">
        <v>1848</v>
      </c>
      <c r="F5" s="1" t="s">
        <v>1849</v>
      </c>
      <c r="G5" s="1" t="s">
        <v>1850</v>
      </c>
      <c r="H5" s="1" t="s">
        <v>1851</v>
      </c>
    </row>
    <row r="6" spans="1:8" ht="28.5">
      <c r="A6" s="1" t="s">
        <v>1852</v>
      </c>
      <c r="B6" s="1" t="s">
        <v>1822</v>
      </c>
      <c r="C6" s="1" t="s">
        <v>528</v>
      </c>
      <c r="D6" s="1" t="s">
        <v>101</v>
      </c>
      <c r="E6" s="1" t="s">
        <v>1853</v>
      </c>
      <c r="F6" s="1" t="s">
        <v>1854</v>
      </c>
      <c r="G6" s="1" t="s">
        <v>1855</v>
      </c>
      <c r="H6" s="1" t="s">
        <v>1856</v>
      </c>
    </row>
    <row r="7" spans="1:8" ht="28.5">
      <c r="A7" s="1" t="s">
        <v>1857</v>
      </c>
      <c r="B7" s="1" t="s">
        <v>1822</v>
      </c>
      <c r="C7" s="1" t="s">
        <v>528</v>
      </c>
      <c r="D7" s="1" t="s">
        <v>101</v>
      </c>
      <c r="E7" s="1" t="s">
        <v>1858</v>
      </c>
      <c r="F7" s="1" t="s">
        <v>1859</v>
      </c>
      <c r="G7" s="1" t="s">
        <v>1860</v>
      </c>
      <c r="H7" s="1" t="s">
        <v>1861</v>
      </c>
    </row>
    <row r="8" spans="1:8" ht="28.5">
      <c r="A8" s="1" t="s">
        <v>1862</v>
      </c>
      <c r="B8" s="1" t="s">
        <v>1822</v>
      </c>
      <c r="C8" s="1" t="s">
        <v>1796</v>
      </c>
      <c r="D8" s="1"/>
      <c r="E8" s="1" t="s">
        <v>1863</v>
      </c>
      <c r="F8" s="1" t="s">
        <v>1864</v>
      </c>
      <c r="G8" s="1" t="s">
        <v>1865</v>
      </c>
      <c r="H8" s="1" t="s">
        <v>1866</v>
      </c>
    </row>
    <row r="9" spans="1:8" ht="42.75">
      <c r="A9" s="1" t="s">
        <v>1867</v>
      </c>
      <c r="B9" s="1" t="s">
        <v>1868</v>
      </c>
      <c r="C9" s="1" t="s">
        <v>498</v>
      </c>
      <c r="D9" s="1" t="s">
        <v>49</v>
      </c>
      <c r="E9" s="1" t="s">
        <v>1869</v>
      </c>
      <c r="F9" s="1" t="s">
        <v>1870</v>
      </c>
      <c r="G9" s="1" t="s">
        <v>1871</v>
      </c>
      <c r="H9" s="1" t="s">
        <v>1872</v>
      </c>
    </row>
    <row r="10" spans="1:8" ht="42.75">
      <c r="A10" s="1" t="s">
        <v>1873</v>
      </c>
      <c r="B10" s="1" t="s">
        <v>1868</v>
      </c>
      <c r="C10" s="1" t="s">
        <v>498</v>
      </c>
      <c r="D10" s="1" t="s">
        <v>49</v>
      </c>
      <c r="E10" s="1" t="s">
        <v>1874</v>
      </c>
      <c r="F10" s="1" t="s">
        <v>1875</v>
      </c>
      <c r="G10" s="1" t="s">
        <v>1876</v>
      </c>
      <c r="H10" s="1" t="s">
        <v>1877</v>
      </c>
    </row>
    <row r="11" spans="1:8" ht="28.5">
      <c r="A11" s="1" t="s">
        <v>1878</v>
      </c>
      <c r="B11" s="1" t="s">
        <v>1868</v>
      </c>
      <c r="C11" s="1" t="s">
        <v>528</v>
      </c>
      <c r="D11" s="1" t="s">
        <v>49</v>
      </c>
      <c r="E11" s="1" t="s">
        <v>1879</v>
      </c>
      <c r="F11" s="1" t="s">
        <v>1880</v>
      </c>
      <c r="G11" s="1" t="s">
        <v>1881</v>
      </c>
      <c r="H11" s="1" t="s">
        <v>1882</v>
      </c>
    </row>
    <row r="12" spans="1:8" ht="28.5">
      <c r="A12" s="1" t="s">
        <v>1883</v>
      </c>
      <c r="B12" s="1" t="s">
        <v>1884</v>
      </c>
      <c r="C12" s="1" t="s">
        <v>450</v>
      </c>
      <c r="D12" s="1" t="s">
        <v>49</v>
      </c>
      <c r="E12" s="1" t="s">
        <v>1885</v>
      </c>
      <c r="F12" s="1" t="s">
        <v>1886</v>
      </c>
      <c r="G12" s="1" t="s">
        <v>1887</v>
      </c>
      <c r="H12" s="1" t="s">
        <v>1888</v>
      </c>
    </row>
    <row r="13" spans="1:8" ht="28.5">
      <c r="A13" s="1" t="s">
        <v>1889</v>
      </c>
      <c r="B13" s="1" t="s">
        <v>1890</v>
      </c>
      <c r="C13" s="1" t="s">
        <v>450</v>
      </c>
      <c r="D13" s="1" t="s">
        <v>23</v>
      </c>
      <c r="E13" s="1" t="s">
        <v>1891</v>
      </c>
      <c r="F13" s="1" t="s">
        <v>1892</v>
      </c>
      <c r="G13" s="1" t="s">
        <v>1893</v>
      </c>
      <c r="H13" s="1" t="s">
        <v>1894</v>
      </c>
    </row>
    <row r="14" spans="1:8" ht="42.75">
      <c r="A14" s="1" t="s">
        <v>1895</v>
      </c>
      <c r="B14" s="1" t="s">
        <v>1896</v>
      </c>
      <c r="C14" s="1" t="s">
        <v>498</v>
      </c>
      <c r="D14" s="1" t="s">
        <v>23</v>
      </c>
      <c r="E14" s="1" t="s">
        <v>1897</v>
      </c>
      <c r="F14" s="1" t="s">
        <v>1898</v>
      </c>
      <c r="G14" s="1" t="s">
        <v>1899</v>
      </c>
      <c r="H14" s="1" t="s">
        <v>1900</v>
      </c>
    </row>
    <row r="15" spans="1:8" ht="28.5">
      <c r="A15" s="1" t="s">
        <v>1901</v>
      </c>
      <c r="B15" s="1" t="s">
        <v>1902</v>
      </c>
      <c r="C15" s="1"/>
      <c r="D15" s="1"/>
      <c r="E15" s="1" t="s">
        <v>1903</v>
      </c>
      <c r="F15" s="1" t="s">
        <v>1904</v>
      </c>
      <c r="G15" s="1" t="s">
        <v>1905</v>
      </c>
      <c r="H15" s="1" t="s">
        <v>1906</v>
      </c>
    </row>
    <row r="16" spans="1:8" ht="42.75">
      <c r="A16" s="1" t="s">
        <v>1907</v>
      </c>
      <c r="B16" s="1" t="s">
        <v>1908</v>
      </c>
      <c r="C16" s="1"/>
      <c r="D16" s="1"/>
      <c r="E16" s="1" t="s">
        <v>1909</v>
      </c>
      <c r="F16" s="1" t="s">
        <v>1910</v>
      </c>
      <c r="G16" s="1" t="s">
        <v>1911</v>
      </c>
      <c r="H16" s="1" t="s">
        <v>1912</v>
      </c>
    </row>
    <row r="17" spans="1:8" ht="42.75">
      <c r="A17" s="1" t="s">
        <v>1913</v>
      </c>
      <c r="B17" s="1" t="s">
        <v>1914</v>
      </c>
      <c r="C17" s="1" t="s">
        <v>1915</v>
      </c>
      <c r="D17" s="1" t="s">
        <v>1916</v>
      </c>
      <c r="E17" s="1" t="s">
        <v>1917</v>
      </c>
      <c r="F17" s="1" t="s">
        <v>1918</v>
      </c>
      <c r="G17" s="1" t="s">
        <v>1919</v>
      </c>
      <c r="H17" s="1" t="s">
        <v>1920</v>
      </c>
    </row>
    <row r="18" spans="1:8" ht="28.5">
      <c r="A18" s="1" t="s">
        <v>1921</v>
      </c>
      <c r="B18" s="1" t="s">
        <v>1922</v>
      </c>
      <c r="C18" s="1" t="s">
        <v>450</v>
      </c>
      <c r="D18" s="1" t="s">
        <v>23</v>
      </c>
      <c r="E18" s="1" t="s">
        <v>1923</v>
      </c>
      <c r="F18" s="1" t="s">
        <v>1924</v>
      </c>
      <c r="G18" s="1" t="s">
        <v>1925</v>
      </c>
      <c r="H18" s="1" t="s">
        <v>1926</v>
      </c>
    </row>
    <row r="19" spans="1:8" ht="28.5">
      <c r="A19" s="1" t="s">
        <v>1927</v>
      </c>
      <c r="B19" s="1" t="s">
        <v>1928</v>
      </c>
      <c r="C19" s="1"/>
      <c r="D19" s="1"/>
      <c r="E19" s="1" t="s">
        <v>1929</v>
      </c>
      <c r="F19" s="1" t="s">
        <v>1930</v>
      </c>
      <c r="G19" s="1" t="s">
        <v>1931</v>
      </c>
      <c r="H19" s="1" t="s">
        <v>1932</v>
      </c>
    </row>
    <row r="20" spans="1:8" ht="42.75">
      <c r="A20" s="1" t="s">
        <v>1933</v>
      </c>
      <c r="B20" s="1" t="s">
        <v>1934</v>
      </c>
      <c r="C20" s="1" t="s">
        <v>498</v>
      </c>
      <c r="D20" s="1" t="s">
        <v>49</v>
      </c>
      <c r="E20" s="1" t="s">
        <v>1935</v>
      </c>
      <c r="F20" s="1" t="s">
        <v>1936</v>
      </c>
      <c r="G20" s="1" t="s">
        <v>1937</v>
      </c>
      <c r="H20" s="1" t="s">
        <v>1912</v>
      </c>
    </row>
    <row r="21" spans="1:8" ht="42.75">
      <c r="A21" s="1" t="s">
        <v>1938</v>
      </c>
      <c r="B21" s="1" t="s">
        <v>1939</v>
      </c>
      <c r="C21" s="1" t="s">
        <v>498</v>
      </c>
      <c r="D21" s="1" t="s">
        <v>23</v>
      </c>
      <c r="E21" s="1" t="s">
        <v>1940</v>
      </c>
      <c r="F21" s="1" t="s">
        <v>1941</v>
      </c>
      <c r="G21" s="1" t="s">
        <v>1942</v>
      </c>
      <c r="H21" s="1" t="s">
        <v>1943</v>
      </c>
    </row>
    <row r="22" spans="1:8" ht="42.75">
      <c r="A22" s="1" t="s">
        <v>1944</v>
      </c>
      <c r="B22" s="1" t="s">
        <v>1945</v>
      </c>
      <c r="C22" s="1" t="s">
        <v>1946</v>
      </c>
      <c r="D22" s="1" t="s">
        <v>1947</v>
      </c>
      <c r="E22" s="1" t="s">
        <v>1948</v>
      </c>
      <c r="F22" s="1" t="s">
        <v>1949</v>
      </c>
      <c r="G22" s="1" t="s">
        <v>1950</v>
      </c>
      <c r="H22" s="1" t="s">
        <v>1888</v>
      </c>
    </row>
    <row r="23" spans="1:8" ht="28.5">
      <c r="A23" s="1" t="s">
        <v>1951</v>
      </c>
      <c r="B23" s="1" t="s">
        <v>1952</v>
      </c>
      <c r="C23" s="1" t="s">
        <v>528</v>
      </c>
      <c r="D23" s="1" t="s">
        <v>1953</v>
      </c>
      <c r="E23" s="1" t="s">
        <v>1954</v>
      </c>
      <c r="F23" s="1" t="s">
        <v>1955</v>
      </c>
      <c r="G23" s="1" t="s">
        <v>1956</v>
      </c>
      <c r="H23" s="1" t="s">
        <v>1957</v>
      </c>
    </row>
    <row r="24" spans="1:8" ht="28.5">
      <c r="A24" s="1" t="s">
        <v>1958</v>
      </c>
      <c r="B24" s="1" t="s">
        <v>1959</v>
      </c>
      <c r="C24" s="1" t="s">
        <v>450</v>
      </c>
      <c r="D24" s="1" t="s">
        <v>23</v>
      </c>
      <c r="E24" s="1" t="s">
        <v>1960</v>
      </c>
      <c r="F24" s="1" t="s">
        <v>1961</v>
      </c>
      <c r="G24" s="1" t="s">
        <v>1962</v>
      </c>
      <c r="H24" s="1" t="s">
        <v>1963</v>
      </c>
    </row>
    <row r="25" spans="1:8" ht="42.75">
      <c r="A25" s="1" t="s">
        <v>1964</v>
      </c>
      <c r="B25" s="1" t="s">
        <v>1965</v>
      </c>
      <c r="C25" s="1" t="s">
        <v>498</v>
      </c>
      <c r="D25" s="1"/>
      <c r="E25" s="1" t="s">
        <v>1966</v>
      </c>
      <c r="F25" s="1" t="s">
        <v>1967</v>
      </c>
      <c r="G25" s="1" t="s">
        <v>1968</v>
      </c>
      <c r="H25" s="1" t="s">
        <v>1969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9"/>
  <sheetViews>
    <sheetView workbookViewId="0"/>
  </sheetViews>
  <sheetFormatPr defaultRowHeight="14.25"/>
  <cols>
    <col min="1" max="1" width="42" customWidth="1"/>
    <col min="2" max="2" width="65" customWidth="1"/>
    <col min="3" max="3" width="4" customWidth="1"/>
    <col min="4" max="4" width="32" customWidth="1"/>
    <col min="5" max="5" width="16" customWidth="1"/>
  </cols>
  <sheetData>
    <row r="1" spans="1:5" ht="30" customHeight="1">
      <c r="A1" s="4" t="s">
        <v>1970</v>
      </c>
      <c r="B1" s="4"/>
      <c r="C1" s="4"/>
      <c r="D1" s="4"/>
      <c r="E1" s="4"/>
    </row>
    <row r="2" spans="1:5">
      <c r="A2" s="1"/>
      <c r="B2" s="1"/>
      <c r="C2" s="1"/>
      <c r="D2" s="1"/>
      <c r="E2" s="1"/>
    </row>
    <row r="3" spans="1:5" ht="15">
      <c r="A3" s="5" t="s">
        <v>1971</v>
      </c>
      <c r="B3" s="5" t="s">
        <v>1788</v>
      </c>
      <c r="C3" s="5"/>
      <c r="D3" s="5" t="s">
        <v>1972</v>
      </c>
      <c r="E3" s="5" t="s">
        <v>1788</v>
      </c>
    </row>
    <row r="4" spans="1:5">
      <c r="A4" s="1" t="s">
        <v>1973</v>
      </c>
      <c r="B4" s="1">
        <v>28</v>
      </c>
      <c r="C4" s="1"/>
      <c r="D4" s="1" t="s">
        <v>1974</v>
      </c>
      <c r="E4" s="1">
        <f>COUNTIF(Presentations!D2:D293,"Yes")</f>
        <v>263</v>
      </c>
    </row>
    <row r="5" spans="1:5">
      <c r="A5" s="1" t="s">
        <v>1975</v>
      </c>
      <c r="B5" s="1">
        <v>27</v>
      </c>
      <c r="C5" s="1"/>
      <c r="D5" s="1" t="s">
        <v>1976</v>
      </c>
      <c r="E5" s="1">
        <f>COUNTIFS(Presentations!C2:C293,"Oral",Presentations!D2:D293,"Yes")</f>
        <v>193</v>
      </c>
    </row>
    <row r="6" spans="1:5">
      <c r="A6" s="1" t="s">
        <v>1977</v>
      </c>
      <c r="B6" s="1">
        <v>275</v>
      </c>
      <c r="C6" s="1"/>
      <c r="D6" s="1" t="s">
        <v>1978</v>
      </c>
      <c r="E6" s="1">
        <f>COUNTIFS(Presentations!C2:C293,"Poster",Presentations!D2:D293,"Yes")</f>
        <v>68</v>
      </c>
    </row>
    <row r="7" spans="1:5">
      <c r="A7" s="1" t="s">
        <v>1979</v>
      </c>
      <c r="B7" s="1">
        <v>214</v>
      </c>
      <c r="C7" s="1"/>
      <c r="D7" s="1" t="s">
        <v>1980</v>
      </c>
      <c r="E7" s="1">
        <f>COUNTIFS(Presentations!C2:C293,"Award",Presentations!D2:D293,"Yes")</f>
        <v>2</v>
      </c>
    </row>
    <row r="8" spans="1:5">
      <c r="A8" s="1" t="s">
        <v>1981</v>
      </c>
      <c r="B8" s="1">
        <v>61</v>
      </c>
      <c r="C8" s="1"/>
      <c r="D8" s="1" t="s">
        <v>1982</v>
      </c>
      <c r="E8" s="1">
        <f>COUNTIF(Sessions!T2:T38,"Yes")</f>
        <v>37</v>
      </c>
    </row>
    <row r="9" spans="1:5">
      <c r="A9" s="1" t="s">
        <v>1983</v>
      </c>
      <c r="B9" s="1">
        <v>291</v>
      </c>
      <c r="C9" s="1"/>
      <c r="D9" s="1" t="s">
        <v>1984</v>
      </c>
      <c r="E9" s="1">
        <f>COUNTIF(Events!K2:K41,"Yes")</f>
        <v>36</v>
      </c>
    </row>
    <row r="10" spans="1:5">
      <c r="A10" s="1" t="s">
        <v>1976</v>
      </c>
      <c r="B10" s="1">
        <v>192</v>
      </c>
      <c r="C10" s="1"/>
      <c r="D10" s="1" t="s">
        <v>1985</v>
      </c>
      <c r="E10" s="1">
        <f>COUNTIF(Schedule!K2:K78,"Yes")</f>
        <v>73</v>
      </c>
    </row>
    <row r="11" spans="1:5">
      <c r="A11" s="1" t="s">
        <v>1986</v>
      </c>
      <c r="B11" s="1">
        <v>68</v>
      </c>
      <c r="C11" s="1"/>
      <c r="D11" s="1"/>
      <c r="E11" s="1"/>
    </row>
    <row r="12" spans="1:5">
      <c r="A12" s="1" t="s">
        <v>1987</v>
      </c>
      <c r="B12" s="1">
        <v>2</v>
      </c>
      <c r="C12" s="1"/>
      <c r="D12" s="1"/>
      <c r="E12" s="1"/>
    </row>
    <row r="13" spans="1:5">
      <c r="A13" s="1" t="s">
        <v>1988</v>
      </c>
      <c r="B13" s="1">
        <v>29</v>
      </c>
      <c r="C13" s="1"/>
      <c r="D13" s="1"/>
      <c r="E13" s="1"/>
    </row>
    <row r="14" spans="1:5">
      <c r="A14" s="1" t="s">
        <v>1989</v>
      </c>
      <c r="B14" s="1">
        <v>37</v>
      </c>
      <c r="C14" s="1"/>
      <c r="D14" s="1"/>
      <c r="E14" s="1"/>
    </row>
    <row r="15" spans="1:5">
      <c r="A15" s="1" t="s">
        <v>1990</v>
      </c>
      <c r="B15" s="1">
        <v>40</v>
      </c>
      <c r="C15" s="1"/>
      <c r="D15" s="1"/>
      <c r="E15" s="1"/>
    </row>
    <row r="16" spans="1:5">
      <c r="A16" s="1" t="s">
        <v>1984</v>
      </c>
      <c r="B16" s="1">
        <v>36</v>
      </c>
      <c r="C16" s="1"/>
      <c r="D16" s="1"/>
      <c r="E16" s="1"/>
    </row>
    <row r="17" spans="1:5">
      <c r="A17" s="1" t="s">
        <v>1991</v>
      </c>
      <c r="B17" s="1">
        <v>4</v>
      </c>
      <c r="C17" s="1"/>
      <c r="D17" s="1"/>
      <c r="E17" s="1"/>
    </row>
    <row r="18" spans="1:5">
      <c r="A18" s="1" t="s">
        <v>1992</v>
      </c>
      <c r="B18" s="1">
        <v>72</v>
      </c>
      <c r="C18" s="1"/>
      <c r="D18" s="1"/>
      <c r="E18" s="1"/>
    </row>
    <row r="19" spans="1:5">
      <c r="A19" s="1" t="s">
        <v>1993</v>
      </c>
      <c r="B19" s="1">
        <v>0</v>
      </c>
      <c r="C19" s="1"/>
      <c r="D19" s="1"/>
      <c r="E19" s="1"/>
    </row>
    <row r="20" spans="1:5">
      <c r="A20" s="1" t="s">
        <v>1994</v>
      </c>
      <c r="B20" s="1">
        <v>0</v>
      </c>
      <c r="C20" s="1"/>
      <c r="D20" s="1"/>
      <c r="E20" s="1"/>
    </row>
    <row r="21" spans="1:5">
      <c r="A21" s="1"/>
      <c r="B21" s="1"/>
      <c r="C21" s="1"/>
      <c r="D21" s="1"/>
      <c r="E21" s="1"/>
    </row>
    <row r="22" spans="1:5">
      <c r="A22" s="1"/>
      <c r="B22" s="1"/>
      <c r="C22" s="1"/>
      <c r="D22" s="1"/>
      <c r="E22" s="1"/>
    </row>
    <row r="23" spans="1:5" ht="30">
      <c r="A23" s="5" t="s">
        <v>1995</v>
      </c>
      <c r="B23" s="5"/>
      <c r="C23" s="5"/>
      <c r="D23" s="5"/>
      <c r="E23" s="5"/>
    </row>
    <row r="24" spans="1:5" ht="342">
      <c r="A24" s="1" t="s">
        <v>1996</v>
      </c>
      <c r="B24" s="1" t="s">
        <v>1997</v>
      </c>
      <c r="C24" s="1" t="s">
        <v>1998</v>
      </c>
      <c r="D24" s="1"/>
      <c r="E24" s="1"/>
    </row>
    <row r="25" spans="1:5" ht="313.5">
      <c r="A25" s="1" t="s">
        <v>1999</v>
      </c>
      <c r="B25" s="1" t="s">
        <v>2000</v>
      </c>
      <c r="C25" s="1" t="s">
        <v>2001</v>
      </c>
      <c r="D25" s="1"/>
      <c r="E25" s="1"/>
    </row>
    <row r="26" spans="1:5" ht="313.5">
      <c r="A26" s="1" t="s">
        <v>2002</v>
      </c>
      <c r="B26" s="1" t="s">
        <v>2003</v>
      </c>
      <c r="C26" s="1" t="s">
        <v>2004</v>
      </c>
      <c r="D26" s="1"/>
      <c r="E26" s="1"/>
    </row>
    <row r="27" spans="1:5" ht="256.5">
      <c r="A27" s="1" t="s">
        <v>2005</v>
      </c>
      <c r="B27" s="1" t="s">
        <v>2006</v>
      </c>
      <c r="C27" s="1" t="s">
        <v>2007</v>
      </c>
      <c r="D27" s="1"/>
      <c r="E27" s="1"/>
    </row>
    <row r="28" spans="1:5" ht="171">
      <c r="A28" s="1" t="s">
        <v>2008</v>
      </c>
      <c r="B28" s="1" t="s">
        <v>2009</v>
      </c>
      <c r="C28" s="1" t="s">
        <v>2010</v>
      </c>
      <c r="D28" s="1"/>
      <c r="E28" s="1"/>
    </row>
    <row r="29" spans="1:5" ht="299.25">
      <c r="A29" s="1" t="s">
        <v>1896</v>
      </c>
      <c r="B29" s="1" t="s">
        <v>2011</v>
      </c>
      <c r="C29" s="1" t="s">
        <v>2012</v>
      </c>
      <c r="D29" s="1"/>
      <c r="E2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Schedule</vt:lpstr>
      <vt:lpstr>Sessions</vt:lpstr>
      <vt:lpstr>Presentations</vt:lpstr>
      <vt:lpstr>Events</vt:lpstr>
      <vt:lpstr>Config</vt:lpstr>
      <vt:lpstr>Corrections_Audit</vt:lpstr>
      <vt:lpstr>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Vikas Kumar Meena</cp:lastModifiedBy>
  <dcterms:modified xsi:type="dcterms:W3CDTF">2026-09-18T18:41:44Z</dcterms:modified>
</cp:coreProperties>
</file>